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06\Project\Model\Excel\"/>
    </mc:Choice>
  </mc:AlternateContent>
  <xr:revisionPtr revIDLastSave="0" documentId="13_ncr:1_{1A2221BB-784B-433E-A94E-AD4EC7D414E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Sheet5" sheetId="7" r:id="rId2"/>
    <sheet name="Sheet4" sheetId="6" r:id="rId3"/>
    <sheet name="Sheet2" sheetId="2" r:id="rId4"/>
    <sheet name="怪物特质标签" sheetId="3" r:id="rId5"/>
    <sheet name="玩法特质标签" sheetId="4" r:id="rId6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6" l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A2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O12" i="2"/>
  <c r="P12" i="2"/>
  <c r="O11" i="2"/>
  <c r="P11" i="2"/>
  <c r="M11" i="2"/>
  <c r="N11" i="2"/>
  <c r="M12" i="2"/>
  <c r="N12" i="2"/>
  <c r="K12" i="2"/>
  <c r="K11" i="2"/>
</calcChain>
</file>

<file path=xl/sharedStrings.xml><?xml version="1.0" encoding="utf-8"?>
<sst xmlns="http://schemas.openxmlformats.org/spreadsheetml/2006/main" count="330" uniqueCount="252">
  <si>
    <t>预留字段</t>
  </si>
  <si>
    <t>Id</t>
  </si>
  <si>
    <t>ck</t>
  </si>
  <si>
    <t>int</t>
  </si>
  <si>
    <t>模板Id</t>
    <phoneticPr fontId="1" type="noConversion"/>
  </si>
  <si>
    <t>int</t>
    <phoneticPr fontId="1" type="noConversion"/>
  </si>
  <si>
    <t>FeatureTags</t>
    <phoneticPr fontId="1" type="noConversion"/>
  </si>
  <si>
    <t>c</t>
    <phoneticPr fontId="1" type="noConversion"/>
  </si>
  <si>
    <t>intList</t>
    <phoneticPr fontId="1" type="noConversion"/>
  </si>
  <si>
    <t>时间</t>
    <phoneticPr fontId="1" type="noConversion"/>
  </si>
  <si>
    <t>Time</t>
    <phoneticPr fontId="1" type="noConversion"/>
  </si>
  <si>
    <t>floatList</t>
    <phoneticPr fontId="1" type="noConversion"/>
  </si>
  <si>
    <r>
      <rPr>
        <sz val="11"/>
        <color theme="1"/>
        <rFont val="宋体"/>
        <family val="3"/>
        <charset val="134"/>
      </rPr>
      <t>怪物</t>
    </r>
    <r>
      <rPr>
        <sz val="11"/>
        <color theme="1"/>
        <rFont val="Tahoma"/>
        <family val="2"/>
        <charset val="134"/>
      </rPr>
      <t>id</t>
    </r>
    <phoneticPr fontId="1" type="noConversion"/>
  </si>
  <si>
    <t>怪物等级</t>
    <phoneticPr fontId="1" type="noConversion"/>
  </si>
  <si>
    <t>怪物品质</t>
    <phoneticPr fontId="1" type="noConversion"/>
  </si>
  <si>
    <t>特质标签(位操作）</t>
    <phoneticPr fontId="1" type="noConversion"/>
  </si>
  <si>
    <t>玩法标签（被位操作）</t>
    <phoneticPr fontId="1" type="noConversion"/>
  </si>
  <si>
    <t>FuncTag</t>
    <phoneticPr fontId="1" type="noConversion"/>
  </si>
  <si>
    <t>位</t>
    <phoneticPr fontId="1" type="noConversion"/>
  </si>
  <si>
    <t>描述</t>
    <phoneticPr fontId="1" type="noConversion"/>
  </si>
  <si>
    <t>BOSS</t>
    <phoneticPr fontId="1" type="noConversion"/>
  </si>
  <si>
    <r>
      <rPr>
        <sz val="11"/>
        <color theme="1"/>
        <rFont val="宋体"/>
        <family val="3"/>
        <charset val="134"/>
      </rPr>
      <t>最多只能有</t>
    </r>
    <r>
      <rPr>
        <sz val="11"/>
        <color theme="1"/>
        <rFont val="Tahoma"/>
        <family val="2"/>
        <charset val="134"/>
      </rPr>
      <t>53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</si>
  <si>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t>id</t>
    <phoneticPr fontId="1" type="noConversion"/>
  </si>
  <si>
    <t>普通宠物</t>
    <phoneticPr fontId="1" type="noConversion"/>
  </si>
  <si>
    <t>{32,0,32,0,32,0,32,0,32,0,32,0,32,0,32,0,32,0,32,0,32,0,32,0,32,0,32,0,32,0}</t>
  </si>
  <si>
    <t>{33554560,0,33554560,0,33554560,0,33554560,0,33554560,0,33554560,0,33554560,0,33554560,0,33554560,0,33554560,0,33554560,0,33554560,0,33554560,0,33554560,0,33554560,0}</t>
  </si>
  <si>
    <t>{16777344,0,16777344,0,16777344,0,16777344,0,16777344,0,16777344,0,16777344,0,16777344,0,16777344,0,16777344,0,16777344,0,16777344,0,16777344,0,16777344,0,16777344,0}</t>
  </si>
  <si>
    <t>{67108992,0,67108992,0,67108992,0,67108992,0,67108992,0,67108992,0,67108992,0,67108992,0,67108992,0,67108992,0,67108992,0,67108992,0,67108992,0,67108992,0,67108992,0}</t>
  </si>
  <si>
    <t>{134217856,0,134217856,0,134217856,0,134217856,0,134217856,0,134217856,0,134217856,0,134217856,0,134217856,0,134217856,0,134217856,0,134217856,0,134217856,0,134217856,0,134217856,0}</t>
  </si>
  <si>
    <t>{268435584,0,268435584,0,268435584,0,268435584,0,268435584,0,268435584,0,268435584,0,268435584,0,268435584,0,268435584,0,268435584,0,268435584,0,268435584,0,268435584,0,268435584,0}</t>
  </si>
  <si>
    <t>{536871040,0,536871040,0,536871040,0,536871040,0,536871040,0,536871040,0,536871040,0,536871040,0,536871040,0,536871040,0,536871040,0,536871040,0,536871040,0,536871040,0,536871040,0}</t>
  </si>
  <si>
    <t>{1073741952,0,1073741952,0,1073741952,0,1073741952,0,1073741952,0,1073741952,0,1073741952,0,1073741952,0,1073741952,0,1073741952,0,1073741952,0,1073741952,0,1073741952,0,1073741952,0,1073741952,0}</t>
  </si>
  <si>
    <t>{2147483776,0,2147483776,0,2147483776,0,2147483776,0,2147483776,0,2147483776,0,2147483776,0,2147483776,0,2147483776,0,2147483776,0,2147483776,0,2147483776,0,2147483776,0,2147483776,0,2147483776,0}</t>
  </si>
  <si>
    <t>{4294967424,0,4294967424,0,4294967424,0,4294967424,0,4294967424,0,4294967424,0,4294967424,0,4294967424,0,4294967424,0,4294967424,0,4294967424,0,4294967424,0,4294967424,0,4294967424,0,4294967424,0}</t>
  </si>
  <si>
    <r>
      <t>备注</t>
    </r>
    <r>
      <rPr>
        <sz val="11"/>
        <color rgb="FFFF0000"/>
        <rFont val="宋体"/>
        <family val="3"/>
        <charset val="134"/>
      </rPr>
      <t>(所有模板上怪时间统一变为2.5一个怪)</t>
    </r>
    <phoneticPr fontId="1" type="noConversion"/>
  </si>
  <si>
    <t>自然1</t>
    <phoneticPr fontId="1" type="noConversion"/>
  </si>
  <si>
    <t>蛮荒2</t>
    <phoneticPr fontId="1" type="noConversion"/>
  </si>
  <si>
    <t>深渊3</t>
    <phoneticPr fontId="1" type="noConversion"/>
  </si>
  <si>
    <t>地狱4</t>
    <phoneticPr fontId="1" type="noConversion"/>
  </si>
  <si>
    <t>绿宠1</t>
    <phoneticPr fontId="1" type="noConversion"/>
  </si>
  <si>
    <t>蓝宠2</t>
    <phoneticPr fontId="1" type="noConversion"/>
  </si>
  <si>
    <t>紫宠3（超凡）</t>
    <phoneticPr fontId="1" type="noConversion"/>
  </si>
  <si>
    <t>紫宠4（上古）</t>
    <phoneticPr fontId="1" type="noConversion"/>
  </si>
  <si>
    <t>战士1</t>
    <phoneticPr fontId="1" type="noConversion"/>
  </si>
  <si>
    <t>坦克2</t>
    <phoneticPr fontId="1" type="noConversion"/>
  </si>
  <si>
    <t>辅助3</t>
    <phoneticPr fontId="1" type="noConversion"/>
  </si>
  <si>
    <t>法师4</t>
    <phoneticPr fontId="1" type="noConversion"/>
  </si>
  <si>
    <t>刺客5</t>
    <phoneticPr fontId="1" type="noConversion"/>
  </si>
  <si>
    <t>【未用】全紫品质宠物</t>
    <phoneticPr fontId="1" type="noConversion"/>
  </si>
  <si>
    <t>【未用】boss塔宠物</t>
    <phoneticPr fontId="1" type="noConversion"/>
  </si>
  <si>
    <t>标签编号（PetBaseProperties.xlsx：petTag）</t>
    <phoneticPr fontId="1" type="noConversion"/>
  </si>
  <si>
    <t>{0,0,0,0,0,0,0,0,0,0,0,0,0,0,0,0,0,0,0,0,0,0,0,0,0,0,0,0,0,0}</t>
    <phoneticPr fontId="1" type="noConversion"/>
  </si>
  <si>
    <t>{1,3.5,6,8.5,11,13.5,16,18.5,21,23.5,26,28.5,31,33.5,36}</t>
    <phoneticPr fontId="1" type="noConversion"/>
  </si>
  <si>
    <r>
      <rPr>
        <sz val="11"/>
        <color theme="1"/>
        <rFont val="宋体"/>
        <family val="3"/>
        <charset val="134"/>
      </rPr>
      <t>每次刷</t>
    </r>
    <r>
      <rPr>
        <sz val="11"/>
        <color theme="1"/>
        <rFont val="Tahoma"/>
        <family val="2"/>
        <charset val="134"/>
      </rPr>
      <t>1</t>
    </r>
    <r>
      <rPr>
        <sz val="11"/>
        <color theme="1"/>
        <rFont val="宋体"/>
        <family val="3"/>
        <charset val="134"/>
      </rPr>
      <t>个怪（任意）</t>
    </r>
    <phoneticPr fontId="1" type="noConversion"/>
  </si>
  <si>
    <t>{1,3.5,6,8.5,11,13.5,16,18.5,21,23.5,26,28.5}</t>
    <phoneticPr fontId="1" type="noConversion"/>
  </si>
  <si>
    <t>{256,0,256,0,256,0,256,0,256,0,256,0,256,0,256,0,256,0,256,0,256,0,256,0,256,0,256,0,256,0}</t>
    <phoneticPr fontId="1" type="noConversion"/>
  </si>
  <si>
    <t>{1,3.5,6,8.5,11,13.5,16,18.5,21,23.5,26,28.5,31,33.5,36}</t>
    <phoneticPr fontId="1" type="noConversion"/>
  </si>
  <si>
    <t>每次刷1个怪（全部绿宠，职业随机，种族随机）</t>
    <phoneticPr fontId="1" type="noConversion"/>
  </si>
  <si>
    <t>每次刷1个怪（绿+蓝各一半，职业随机，种族随机）</t>
    <phoneticPr fontId="1" type="noConversion"/>
  </si>
  <si>
    <t>每次刷1个怪（全部蓝宠，职业随机，种族随机）</t>
  </si>
  <si>
    <t>每次刷1个怪（全部蓝宠，职业随机，种族随机）</t>
    <phoneticPr fontId="1" type="noConversion"/>
  </si>
  <si>
    <t>每次刷1个怪（蓝+超凡紫各一半，职业随机，种族随机）</t>
    <phoneticPr fontId="1" type="noConversion"/>
  </si>
  <si>
    <t>每次刷1个怪（全部紫宠（超凡），职业随机，种族随机）</t>
  </si>
  <si>
    <t>每次刷1个怪（全部紫宠（超凡），职业随机，种族随机）</t>
    <phoneticPr fontId="1" type="noConversion"/>
  </si>
  <si>
    <t>适用玩法</t>
    <phoneticPr fontId="1" type="noConversion"/>
  </si>
  <si>
    <t>每次刷1个怪（超凡紫+上古紫，职业随机，自然）</t>
    <phoneticPr fontId="1" type="noConversion"/>
  </si>
  <si>
    <t>每次刷1个怪（超凡紫+上古紫，职业随机，蛮荒）</t>
    <phoneticPr fontId="1" type="noConversion"/>
  </si>
  <si>
    <t>每次刷1个怪（超凡紫+上古紫，职业随机，深渊）</t>
    <phoneticPr fontId="1" type="noConversion"/>
  </si>
  <si>
    <t>每次刷1个怪（超凡紫+上古紫，职业随机，地狱）</t>
    <phoneticPr fontId="1" type="noConversion"/>
  </si>
  <si>
    <t>每次刷1个怪（全部紫宠（上古），职业随机，自然）</t>
    <phoneticPr fontId="1" type="noConversion"/>
  </si>
  <si>
    <t>每次刷1个怪（全部紫宠（上古），职业随机，蛮荒）</t>
    <phoneticPr fontId="1" type="noConversion"/>
  </si>
  <si>
    <t>每次刷1个怪（全部紫宠（上古），职业随机，深渊）</t>
    <phoneticPr fontId="1" type="noConversion"/>
  </si>
  <si>
    <t>每次刷1个怪（全部紫宠（上古），职业随机，地狱）</t>
    <phoneticPr fontId="1" type="noConversion"/>
  </si>
  <si>
    <t>每次刷1个怪（全部紫宠（上古），职业随机，种族随机）</t>
    <phoneticPr fontId="1" type="noConversion"/>
  </si>
  <si>
    <t>——</t>
    <phoneticPr fontId="1" type="noConversion"/>
  </si>
  <si>
    <t>每次刷1个怪（全部绿宠，职业随机，种族随机）</t>
    <phoneticPr fontId="1" type="noConversion"/>
  </si>
  <si>
    <t>{1,3.5,6,8.5,11,13.5,16,18.5,21,23.5,26,28.5,31,33.5,36}</t>
    <phoneticPr fontId="1" type="noConversion"/>
  </si>
  <si>
    <t>每次刷1个怪（绿+蓝宠，职业随机，种族随机）</t>
  </si>
  <si>
    <t>每次刷1个怪（蓝+超凡紫，职业随机，种族随机）</t>
  </si>
  <si>
    <t>每次刷1个怪（超凡紫+上古紫，职业随机，种族随机）</t>
  </si>
  <si>
    <t>{64,0,64,0,64,0,64,0,64,0,64,0,64,0,64,0,64,0,64,0,64,0,64,0,64,0,64,0,64,0}</t>
    <phoneticPr fontId="1" type="noConversion"/>
  </si>
  <si>
    <t>{128,0,128,0,128,0,128,0,128,0,128,0,128,0,128,0,128,0,128,0,128,0,128,0,128,0,128,0,128,0}</t>
    <phoneticPr fontId="1" type="noConversion"/>
  </si>
  <si>
    <t>{1,3.5,6,8.5,11,13.5,16,18.5,21,23.5,26,28.5,31,33.5,36}</t>
    <phoneticPr fontId="1" type="noConversion"/>
  </si>
  <si>
    <t>{258,0,258,0,258,0,258,0,258,0,258,0,258,0,258,0,258,0,258,0,258,0,258,0,258,0,258,0,258,0}</t>
  </si>
  <si>
    <t>{264,0,264,0,264,0,264,0,264,0,264,0,264,0,264,0,264,0,264,0,264,0,264,0,264,0,264,0,264,0}</t>
  </si>
  <si>
    <t>{260,0,260,0,260,0,260,0,260,0,260,0,260,0,260,0,260,0,260,0,260,0,260,0,260,0,260,0,260,0}</t>
  </si>
  <si>
    <t>{272,0,272,0,272,0,272,0,272,0,272,0,272,0,272,0,272,0,272,0,272,0,272,0,272,0,272,0,272,0}</t>
  </si>
  <si>
    <t>每次刷1个怪（全部蓝宠，职业均衡，种族随机）</t>
    <phoneticPr fontId="1" type="noConversion"/>
  </si>
  <si>
    <t>每次刷1个怪（蓝+超凡紫，职业均衡，种族随机）</t>
    <phoneticPr fontId="1" type="noConversion"/>
  </si>
  <si>
    <t>每次刷1个怪（全部紫宠（超凡），职业均衡，种族随机）</t>
    <phoneticPr fontId="1" type="noConversion"/>
  </si>
  <si>
    <t>每次刷1个怪（超凡紫+上古紫，职业均衡，种族随机）</t>
    <phoneticPr fontId="1" type="noConversion"/>
  </si>
  <si>
    <t>{576,0,4160,0,1088,0,2112,0,576,0,4160,0,1088,0,2112,0,576,0,4160,0,1088,0,2112,0,576,0,4160,0,1088,0}</t>
    <phoneticPr fontId="1" type="noConversion"/>
  </si>
  <si>
    <t>{1,3.5,6,8.5,11,13.5,16,18.5,21,23.5,26,28.5,31,33.5,36}</t>
    <phoneticPr fontId="1" type="noConversion"/>
  </si>
  <si>
    <t>{640,0,4224,0,1152,0,2176,0,640,0,4224,0,1152,0,2176,0,640,0,4224,0,1152,0,2176,0,640,0,4224,0,1152,0}</t>
    <phoneticPr fontId="1" type="noConversion"/>
  </si>
  <si>
    <t>每次刷1个怪（超凡紫+上古紫，职业均衡，自然）</t>
  </si>
  <si>
    <t>每次刷1个怪（超凡紫+上古紫，职业均衡，蛮荒）</t>
  </si>
  <si>
    <t>每次刷1个怪（超凡紫+上古紫，职业均衡，深渊）</t>
  </si>
  <si>
    <t>每次刷1个怪（超凡紫+上古紫，职业均衡，地狱）</t>
  </si>
  <si>
    <t>每次刷1个怪（全部紫宠（上古），职业均衡，自然）</t>
  </si>
  <si>
    <t>每次刷1个怪（全部紫宠（上古），职业均衡，蛮荒）</t>
  </si>
  <si>
    <t>每次刷1个怪（全部紫宠（上古），职业均衡，深渊）</t>
  </si>
  <si>
    <t>每次刷1个怪（全部紫宠（上古），职业均衡，地狱）</t>
  </si>
  <si>
    <t>{772,0,4356,0,1284,0,2308,0,772,0,4356,0,1284,0,2308,0,772,0,4356,0,1284,0,2308,0,772,0,4356,0,1284,0}</t>
    <phoneticPr fontId="1" type="noConversion"/>
  </si>
  <si>
    <t>{1,3.5,6,8.5,11,13.5,16,18.5,21,23.5,26,28.5,31,33.5,36}</t>
    <phoneticPr fontId="1" type="noConversion"/>
  </si>
  <si>
    <t>{776,0,4360,0,1288,0,2312,0,776,0,4360,0,1288,0,2312,0,776,0,4360,0,1288,0,2312,0,776,0,4360,0,2312,0}</t>
    <phoneticPr fontId="1" type="noConversion"/>
  </si>
  <si>
    <t>{784,0,4368,0,1296,0,2320,0,784,0,4368,0,1296,0,2320,0,784,0,4368,0,1296,0,2320,0,784,0,4368,0,1296,0}</t>
    <phoneticPr fontId="1" type="noConversion"/>
  </si>
  <si>
    <t>{64,0,128,0,64,0,128,0,64,0,128,0,64,0,128,0,64,0,128,0,64,0,128,0,64,0,128,0,64,0}</t>
    <phoneticPr fontId="1" type="noConversion"/>
  </si>
  <si>
    <t>{1,3.5,6,8.5,11,13.5,16,18.5,21,23.5,26,28.5,31,33.5,36}</t>
    <phoneticPr fontId="1" type="noConversion"/>
  </si>
  <si>
    <t>{128,0,256,0,128,0,256,0,128,0,256,0,128,0,256,0,128,0,256,0,128,0,256,0,128,0,256,0,128,0}</t>
    <phoneticPr fontId="1" type="noConversion"/>
  </si>
  <si>
    <t>{1,3.5,6,8.5,11,13.5,16,18.5,21,23.5,26,28.5,31,33.5,36}</t>
    <phoneticPr fontId="1" type="noConversion"/>
  </si>
  <si>
    <t>主线11-20</t>
    <phoneticPr fontId="1" type="noConversion"/>
  </si>
  <si>
    <t>主线21-50</t>
    <phoneticPr fontId="1" type="noConversion"/>
  </si>
  <si>
    <t>主线50-75</t>
    <phoneticPr fontId="1" type="noConversion"/>
  </si>
  <si>
    <t>主线76-200、风暴之塔1-10</t>
    <phoneticPr fontId="1" type="noConversion"/>
  </si>
  <si>
    <t>主线201-400、风暴之塔11-30</t>
    <phoneticPr fontId="1" type="noConversion"/>
  </si>
  <si>
    <t>主线401-600、风暴之塔31-50</t>
    <phoneticPr fontId="1" type="noConversion"/>
  </si>
  <si>
    <t>无尽尖塔前10</t>
  </si>
  <si>
    <t>无尽尖塔前11-30</t>
  </si>
  <si>
    <t>无尽尖塔前31-100</t>
  </si>
  <si>
    <t>无尽尖塔前101-200</t>
  </si>
  <si>
    <t>无尽尖塔后201-900每40关循环</t>
  </si>
  <si>
    <t>无尽尖塔900关后每40关循环</t>
  </si>
  <si>
    <t>无尽尖塔后BOSS第201-900每40关循环</t>
  </si>
  <si>
    <t>无尽尖塔BOSS第900关后每40关循环</t>
  </si>
  <si>
    <t>遗迹副本</t>
  </si>
  <si>
    <t>遗迹副本</t>
    <phoneticPr fontId="1" type="noConversion"/>
  </si>
  <si>
    <t>无尽尖塔前BOSS第10-100整10关；遗迹副本</t>
    <phoneticPr fontId="1" type="noConversion"/>
  </si>
  <si>
    <t>无尽尖塔前BOSS第101-200整10关；遗迹副本</t>
    <phoneticPr fontId="1" type="noConversion"/>
  </si>
  <si>
    <t>无尽尖塔后BOSS第201-900每40关循环</t>
    <phoneticPr fontId="1" type="noConversion"/>
  </si>
  <si>
    <t>主线600+、风暴之塔50+；遗迹副本</t>
    <phoneticPr fontId="1" type="noConversion"/>
  </si>
  <si>
    <t>{32,0,64,0,32,0,64,0,32,0,64,0,32,0,64,0,32,0,64,0,32,0,64,0,32,0,64,0,32,0}</t>
    <phoneticPr fontId="1" type="noConversion"/>
  </si>
  <si>
    <t>{1,3.5,6,8.5,11,13.5,16,18.5,21,23.5,26,28.5,31,33.5,36}</t>
    <phoneticPr fontId="1" type="noConversion"/>
  </si>
  <si>
    <t>{0,288,0,288,0,288,0,288,0,288,0,288,0,288,0,288,0,288,0,288,0,288,0,288,0,288,0,288,0,288}</t>
    <phoneticPr fontId="1" type="noConversion"/>
  </si>
  <si>
    <t>{1,3.5,6,8.5,11,13.5,16,18.5,21,23.5,26,28.5,31,33.5,36}</t>
    <phoneticPr fontId="1" type="noConversion"/>
  </si>
  <si>
    <t>{2,96,2,96,2,96,2,96,2,96,2,96,2,96,2,96,2,96,2,96,2,96,2,96,2,96,2,96,2,96}</t>
    <phoneticPr fontId="1" type="noConversion"/>
  </si>
  <si>
    <t>{1,3.5,6,8.5,11,13.5,16,18.5,21,23.5,26,28.5,31,33.5,36}</t>
    <phoneticPr fontId="1" type="noConversion"/>
  </si>
  <si>
    <t>{1,3.5,6,8.5,11,13.5,16,18.5,21,23.5,26,28.5,31,33.5,36}</t>
    <phoneticPr fontId="1" type="noConversion"/>
  </si>
  <si>
    <t>{1,3.5,6,8.5,11,13.5,16,18.5,21,23.5,26,28.5,31,33.5,36}</t>
    <phoneticPr fontId="1" type="noConversion"/>
  </si>
  <si>
    <t>{0,96,0,96,0,96,0,96,0,96,0,96,0,96,0,96,0,96,0,96,0,96,0,96,0,96,0,96,0,96}</t>
    <phoneticPr fontId="1" type="noConversion"/>
  </si>
  <si>
    <t>{4,96,4,96,4,96,4,96,4,96,4,96,4,96,4,96,4,96,4,96,4,96,4,96,4,96,4,96,4,96}</t>
  </si>
  <si>
    <t>{8,96,8,96,8,96,8,96,8,96,8,96,8,96,8,96,8,96,8,96,8,96,8,96,8,96,8,96,8,96}</t>
  </si>
  <si>
    <t>{16,96,16,96,16,96,16,96,16,96,16,96,16,96,16,96,16,96,16,96,16,96,16,96,16,96,16,96,16,96}</t>
  </si>
  <si>
    <t>{512,288,4096,288,1024,288,2048,288,512,288,4096,288,1024,288,2048,288,512,288,4096,288,1024,288,2048,288,512,288,4096,288,1024,288}</t>
    <phoneticPr fontId="1" type="noConversion"/>
  </si>
  <si>
    <t>{1,3.5,6,8.5,11,13.5,16,18.5,21,23.5,26,28.5,31,33.5,36}</t>
    <phoneticPr fontId="1" type="noConversion"/>
  </si>
  <si>
    <t>{512,96,4096,96,1024,96,2048,96,512,96,4096,96,1024,96,2048,96,512,96,4096,96,1024,96,2048,96,512,96,4096,96,1024,96}</t>
    <phoneticPr fontId="1" type="noConversion"/>
  </si>
  <si>
    <t>{514,96,4098,96,1026,96,2050,96,514,96,4098,96,1026,96,2050,96,514,96,4098,96,1026,96,2050,96,514,96,4098,96,1026,96}</t>
    <phoneticPr fontId="1" type="noConversion"/>
  </si>
  <si>
    <t>{516,96,4100,96,1028,96,2052,96,516,96,4100,96,1028,96,2052,96,516,96,4100,96,1028,96,2052,96,516,96,4100,96,1028,96}</t>
    <phoneticPr fontId="1" type="noConversion"/>
  </si>
  <si>
    <t>{520,96,4104,96,1032,96,2056,96,520,96,4104,96,1032,96,2056,96,520,96,4104,96,1032,96,2056,96,520,96,4104,96,1416,96}</t>
    <phoneticPr fontId="1" type="noConversion"/>
  </si>
  <si>
    <t>{528,96,4112,96,1040,96,2064,96,528,96,4112,96,1040,96,2064,96,528,96,4112,96,1040,96,2064,96,528,96,4112,96,1040,96}</t>
    <phoneticPr fontId="1" type="noConversion"/>
  </si>
  <si>
    <t>{8450,0,4354,0,1282,0,2306,0,8450,0,4354,0,1282,0,2306,0,1282,0,4354,0,1282,0,2306,0,1282,0,4354,0,1282,0}</t>
    <phoneticPr fontId="1" type="noConversion"/>
  </si>
  <si>
    <t>{1,3.5,6,8.5,11,13.5,16,18.5,21,23.5,26,28.5,31,33.5,36}</t>
    <phoneticPr fontId="1" type="noConversion"/>
  </si>
  <si>
    <t>{128,2048,128,2048,128,2048,128,2048,128,2048,128,2048,128,2048,128,2048,128,2048,128,2048,128,2048,128,2048}</t>
  </si>
  <si>
    <t>{128,2048,128,2048,128,2048,128,2048,128,2048,128,2048,128,2048,128,2048,128,2048,128,2048,128,2048,128,2048}</t>
    <phoneticPr fontId="1" type="noConversion"/>
  </si>
  <si>
    <t>{1,3.5,6,8.5,11,13.5,16,18.5,21,23.5,26,28.5}</t>
    <phoneticPr fontId="1" type="noConversion"/>
  </si>
  <si>
    <t>每次刷1个怪（超凡紫+上古紫各一半，职业随机，种族随机）</t>
    <phoneticPr fontId="1" type="noConversion"/>
  </si>
  <si>
    <t>每次刷1个怪（全部紫宠（上古），职业均衡，种族随机）</t>
    <phoneticPr fontId="1" type="noConversion"/>
  </si>
  <si>
    <t>{768,0,4352,0,1280,0,2304,0,768,0,4352,0,1280,0,2304,0,768,0,4352,0,1280,0,2304,0,768,0,4352,0,1280,0}</t>
    <phoneticPr fontId="1" type="noConversion"/>
  </si>
  <si>
    <t>{1,3.5,6,8.5,11,13.5,16,18.5,21,23.5,26,28.5,31,33.5,36}</t>
  </si>
  <si>
    <t>每次刷1个怪（超凡紫+上古紫1个，职业随机，种族随机）</t>
  </si>
  <si>
    <t>{128,0,256,0,128,0,256,0,128,0,128,0,128,0,128,0,128,0,128,0,128,0,128,0,128,0,128,0,128,0}</t>
  </si>
  <si>
    <t>每次刷1个怪（超凡紫+上古紫2个，职业随机，种族随机）</t>
  </si>
  <si>
    <t>{128,0,256,0,128,0,256,0,128,0,256,0,128,0,128,0,128,0,128,0,128,0,128,0,128,0,128,0,128,0}</t>
  </si>
  <si>
    <t>每次刷1个怪（超凡紫+上古紫3个，职业随机，种族随机）</t>
  </si>
  <si>
    <t>{128,0,256,0,128,0,256,0,128,0,256,0,128,0,256,0,128,0,128,0,128,0,128,0,128,0,128,0,128,0}</t>
  </si>
  <si>
    <t>每次刷1个怪（超凡紫+上古紫4个，职业随机，种族随机）</t>
  </si>
  <si>
    <t>{128,0,256,0,128,0,256,0,128,0,256,0,128,0,256,0,128,0,256,0,128,0,128,0,128,0,128,0,128,0}</t>
  </si>
  <si>
    <t>每次刷1个怪（超凡紫+上古紫5个，职业随机，种族随机）</t>
  </si>
  <si>
    <t>{128,0,256,0,128,0,256,0,128,0,256,0,128,0,256,0,128,0,256,0,128,0,256,0,128,0,128,0,128,0}</t>
  </si>
  <si>
    <t>每次刷1个怪（超凡紫+上古紫6个，职业随机，种族随机）</t>
  </si>
  <si>
    <t>{128,0,256,0,128,0,256,0,128,0,256,0,128,0,256,0,128,0,256,0,128,0,256,0,128,0,256,0,128,0}</t>
  </si>
  <si>
    <t>每次刷1个怪（超凡紫+上古紫7个，职业随机，种族随机）</t>
  </si>
  <si>
    <t>{256,0,256,0,128,0,256,0,128,0,256,0,128,0,256,0,128,0,256,0,128,0,256,0,128,0,256,0,128,0}</t>
  </si>
  <si>
    <t>每次刷1个怪（超凡紫+上古紫8个，职业随机，种族随机）</t>
  </si>
  <si>
    <t>{256,0,256,0,256,0,256,0,128,0,256,0,128,0,256,0,128,0,256,0,128,0,256,0,128,0,256,0,128,0}</t>
  </si>
  <si>
    <t>每次刷1个怪（超凡紫+上古紫9个，职业随机，种族随机）</t>
  </si>
  <si>
    <t>{256,0,256,0,256,0,256,0,256,0,256,0,128,0,256,0,128,0,256,0,128,0,256,0,128,0,256,0,128,0}</t>
  </si>
  <si>
    <t>每次刷1个怪（超凡紫+上古紫10个，职业随机，种族随机）</t>
  </si>
  <si>
    <t>{256,0,256,0,256,0,256,0,256,0,256,0,256,0,256,0,128,0,256,0,128,0,256,0,128,0,256,0,128,0}</t>
  </si>
  <si>
    <t>每次刷1个怪（超凡紫+上古紫11个，职业随机，种族随机）</t>
  </si>
  <si>
    <t>{256,0,256,0,256,0,256,0,256,0,256,0,256,0,256,0,256,0,256,0,128,0,256,0,128,0,256,0,128,0}</t>
  </si>
  <si>
    <t>每次刷1个怪（超凡紫+上古紫12个，职业随机，种族随机）</t>
  </si>
  <si>
    <t>{256,0,256,0,256,0,256,0,256,0,256,0,256,0,256,0,256,0,256,0,256,0,256,0,128,0,256,0,128,0}</t>
  </si>
  <si>
    <t>每次刷1个怪（超凡紫+上古紫13个，职业随机，种族随机）</t>
  </si>
  <si>
    <t>{256,0,256,0,256,0,256,0,256,0,256,0,256,0,256,0,256,0,256,0,256,0,256,0,256,0,256,0,128,0}</t>
  </si>
  <si>
    <t>每次刷1个怪（超凡紫+上古紫14个，职业随机，种族随机）</t>
  </si>
  <si>
    <t>每次刷1个怪（超凡紫+上古紫1个，职业均衡，种族随机）</t>
  </si>
  <si>
    <t>每次刷1个怪（超凡紫+上古紫2个，职业均衡，种族随机）</t>
  </si>
  <si>
    <t>每次刷1个怪（超凡紫+上古紫3个，职业均衡，种族随机）</t>
  </si>
  <si>
    <t>每次刷1个怪（超凡紫+上古紫4个，职业均衡，种族随机）</t>
  </si>
  <si>
    <t>每次刷1个怪（超凡紫+上古紫5个，职业均衡，种族随机）</t>
  </si>
  <si>
    <t>每次刷1个怪（超凡紫+上古紫6个，职业均衡，种族随机）</t>
  </si>
  <si>
    <t>每次刷1个怪（超凡紫+上古紫7个，职业均衡，种族随机）</t>
  </si>
  <si>
    <t>每次刷1个怪（超凡紫+上古紫8个，职业均衡，种族随机）</t>
  </si>
  <si>
    <t>每次刷1个怪（超凡紫+上古紫9个，职业均衡，种族随机）</t>
  </si>
  <si>
    <t>每次刷1个怪（超凡紫+上古紫10个，职业均衡，种族随机）</t>
  </si>
  <si>
    <t>每次刷1个怪（超凡紫+上古紫11个，职业均衡，种族随机）</t>
  </si>
  <si>
    <t>每次刷1个怪（超凡紫+上古紫12个，职业均衡，种族随机）</t>
  </si>
  <si>
    <t>每次刷1个怪（超凡紫+上古紫13个，职业均衡，种族随机）</t>
  </si>
  <si>
    <t>每次刷1个怪（超凡紫+上古紫14个，职业均衡，种族随机）</t>
  </si>
  <si>
    <t>{1,3.5,6,8.5,11,13.5,16,18.5,21,23.5,26,28.5,31,33.5,36}</t>
    <phoneticPr fontId="1" type="noConversion"/>
  </si>
  <si>
    <t>{128,0,128,0,128,0,256,0,128,0,128,0,128,0,128,0,128,0,128,0,128,0,128,0,128,0,128,0,128,0}</t>
    <phoneticPr fontId="1" type="noConversion"/>
  </si>
  <si>
    <t>远征：12个超凡，无辅助</t>
    <phoneticPr fontId="1" type="noConversion"/>
  </si>
  <si>
    <t>远征：11个超凡+1个上古，无辅助</t>
    <phoneticPr fontId="1" type="noConversion"/>
  </si>
  <si>
    <t>远征：10个超凡+2个上古，无辅助</t>
    <phoneticPr fontId="1" type="noConversion"/>
  </si>
  <si>
    <t>远征：9个超凡+3个上古，无辅助</t>
    <phoneticPr fontId="1" type="noConversion"/>
  </si>
  <si>
    <t>远征：8个超凡+4个上古，无辅助</t>
    <phoneticPr fontId="1" type="noConversion"/>
  </si>
  <si>
    <t>远征：7个超凡+5个上古，无辅助</t>
    <phoneticPr fontId="1" type="noConversion"/>
  </si>
  <si>
    <t>远征：6个超凡+6个上古，无辅助</t>
    <phoneticPr fontId="1" type="noConversion"/>
  </si>
  <si>
    <t>【远征：废弃】{紫色，12}无加血</t>
    <phoneticPr fontId="1" type="noConversion"/>
  </si>
  <si>
    <t>【远征：废弃】{紫色，12}无加血，2个阿努比斯</t>
    <phoneticPr fontId="1" type="noConversion"/>
  </si>
  <si>
    <t>{128,2048,128,2048,128,2048,128,2048,128,2048,128,2048,128,2048,128,2048,128,2048,128,2048,128,2048,128,2048}</t>
    <phoneticPr fontId="1" type="noConversion"/>
  </si>
  <si>
    <t>{1,3.5,6,8.5,11,13.5,16,18.5,21,23.5,26,28.5}</t>
    <phoneticPr fontId="1" type="noConversion"/>
  </si>
  <si>
    <t>{128,2048,256,2048,128,2048,128,2048,128,2048,128,2048,128,2048,128,2048,128,2048,128,2048,128,2048,128,2048}</t>
    <phoneticPr fontId="1" type="noConversion"/>
  </si>
  <si>
    <t>{128,2048,256,2048,128,2048,256,2048,128,2048,128,2048,128,2048,128,2048,128,2048,128,2048,128,2048,128,2048}</t>
    <phoneticPr fontId="1" type="noConversion"/>
  </si>
  <si>
    <t>{1,3.5,6,8.5,11,13.5,16,18.5,21,23.5,26,28.5}</t>
    <phoneticPr fontId="1" type="noConversion"/>
  </si>
  <si>
    <t>{128,2048,256,2048,128,2048,256,2048,128,2048,256,2048,128,2048,128,2048,128,2048,128,2048,128,2048,128,2048}</t>
    <phoneticPr fontId="1" type="noConversion"/>
  </si>
  <si>
    <t>{128,2048,256,2048,128,2048,256,2048,128,2048,256,2048,128,2048,256,2048,128,2048,128,2048,128,2048,128,2048}</t>
    <phoneticPr fontId="1" type="noConversion"/>
  </si>
  <si>
    <t>{1,3.5,6,8.5,11,13.5,16,18.5,21,23.5,26,28.5}</t>
    <phoneticPr fontId="1" type="noConversion"/>
  </si>
  <si>
    <t>{128,2048,256,2048,128,2048,256,2048,128,2048,256,2048,128,2048,256,2048,128,2048,256,2048,128,2048,128,2048}</t>
    <phoneticPr fontId="1" type="noConversion"/>
  </si>
  <si>
    <t>{128,2048,256,2048,128,2048,256,2048,128,2048,256,2048,128,2048,256,2048,128,2048,256,2048,128,2048,256,2048}</t>
    <phoneticPr fontId="1" type="noConversion"/>
  </si>
  <si>
    <t>{1,3.5,6,8.5,11,13.5,16,18.5,21,23.5,26,28.5}</t>
    <phoneticPr fontId="1" type="noConversion"/>
  </si>
  <si>
    <t>{256,2048,256,2048,128,2048,256,2048,128,2048,256,2048,128,2048,256,2048,128,2048,256,2048,128,2048,256,2048}</t>
    <phoneticPr fontId="1" type="noConversion"/>
  </si>
  <si>
    <t>{256,2048,256,2048,256,2048,256,2048,128,2048,256,2048,128,2048,256,2048,128,2048,256,2048,128,2048,256,2048}</t>
    <phoneticPr fontId="1" type="noConversion"/>
  </si>
  <si>
    <t>{256,2048,256,2048,256,2048,256,2048,256,2048,256,2048,128,2048,256,2048,128,2048,256,2048,128,2048,256,2048}</t>
    <phoneticPr fontId="1" type="noConversion"/>
  </si>
  <si>
    <t>{256,2048,256,2048,256,2048,256,2048,256,2048,256,2048,256,2048,256,2048,128,2048,256,2048,128,2048,256,2048}</t>
    <phoneticPr fontId="1" type="noConversion"/>
  </si>
  <si>
    <t>【备用】远征：5个超凡+7个上古，无辅助</t>
    <phoneticPr fontId="1" type="noConversion"/>
  </si>
  <si>
    <t>【备用】远征：4个超凡+8个上古，无辅助</t>
    <phoneticPr fontId="1" type="noConversion"/>
  </si>
  <si>
    <t>【备用】远征：3个超凡+9个上古，无辅助</t>
    <phoneticPr fontId="1" type="noConversion"/>
  </si>
  <si>
    <t>【备用】远征：2个超凡+10个上古，无辅助</t>
    <phoneticPr fontId="1" type="noConversion"/>
  </si>
  <si>
    <t>{512,224,4096,224,1024,352,2048,224,512,224,4096,352,1024,224,2048,352,512,224,4096,224,1024,224,512,224,512,224,4096,224,1024,224}</t>
    <phoneticPr fontId="1" type="noConversion"/>
  </si>
  <si>
    <t>{512,224,4096,224,1024,352,2048,224,512,224,4096,224,1024,224,2048,352,512,224,4096,224,1024,224,512,224,512,224,4096,224,1024,224}</t>
    <phoneticPr fontId="1" type="noConversion"/>
  </si>
  <si>
    <t>{512,224,4096,224,1024,224,2048,224,512,224,4096,224,1024,224,2048,352,512,224,4096,224,1024,224,512,224,512,224,4096,224,1024,224}</t>
    <phoneticPr fontId="1" type="noConversion"/>
  </si>
  <si>
    <t>{512,352,4096,352,1024,352,2048,224,512,352,4096,352,1024,352,2048,352,512,352,4096,352,1024,352,512,352,512,352,4096,352,1024,352}</t>
    <phoneticPr fontId="1" type="noConversion"/>
  </si>
  <si>
    <t>{512,352,4096,352,1024,352,2048,224,512,352,4096,352,1024,352,2048,352,512,352,4096,224,1024,352,512,352,512,352,4096,352,1024,352}</t>
    <phoneticPr fontId="1" type="noConversion"/>
  </si>
  <si>
    <t>{1,3.5,6,8.5,11,13.5,16,18.5,21,23.5,26,28.5,31,33.5,36}</t>
    <phoneticPr fontId="1" type="noConversion"/>
  </si>
  <si>
    <t>{512,352,4096,352,1024,352,2048,224,512,352,4096,352,1024,352,2048,352,512,352,4096,224,1024,352,512,352,512,224,4096,352,1024,352}</t>
    <phoneticPr fontId="1" type="noConversion"/>
  </si>
  <si>
    <t>{1,3.5,6,8.5,11,13.5,16,18.5,21,23.5,26,28.5,31,33.5,36}</t>
    <phoneticPr fontId="1" type="noConversion"/>
  </si>
  <si>
    <t>{512,352,4096,352,1024,352,2048,224,512,352,4096,352,1024,352,2048,352,512,352,4096,224,1024,352,512,352,512,224,4096,352,1024,224}</t>
    <phoneticPr fontId="1" type="noConversion"/>
  </si>
  <si>
    <t>{512,352,4096,352,1024,352,2048,224,512,224,4096,352,1024,352,2048,352,512,352,4096,224,1024,352,512,352,512,224,4096,352,1024,224}</t>
    <phoneticPr fontId="1" type="noConversion"/>
  </si>
  <si>
    <t>{512,352,4096,352,1024,352,2048,224,512,224,4096,352,1024,352,2048,352,512,352,4096,224,1024,352,512,352,512,224,4096,224,1024,224}</t>
    <phoneticPr fontId="1" type="noConversion"/>
  </si>
  <si>
    <t>{512,352,4096,224,1024,352,2048,224,512,224,4096,352,1024,352,2048,352,512,352,4096,224,1024,352,512,352,512,224,4096,224,1024,224}</t>
    <phoneticPr fontId="1" type="noConversion"/>
  </si>
  <si>
    <t>{512,352,4096,224,1024,352,2048,224,512,224,4096,352,1024,352,2048,352,512,224,4096,224,1024,352,512,352,512,224,4096,224,1024,224}</t>
    <phoneticPr fontId="1" type="noConversion"/>
  </si>
  <si>
    <t>{512,352,4096,224,1024,352,2048,224,512,224,4096,352,1024,224,2048,352,512,224,4096,224,1024,352,512,352,512,224,4096,224,1024,224}</t>
    <phoneticPr fontId="1" type="noConversion"/>
  </si>
  <si>
    <t>{512,352,4096,224,1024,352,2048,224,512,224,4096,352,1024,224,2048,352,512,224,4096,224,1024,224,512,352,512,224,4096,224,1024,224}</t>
    <phoneticPr fontId="1" type="noConversion"/>
  </si>
  <si>
    <t>{512,224,4096,224,1024,352,2048,224,512,224,4096,352,1024,224,2048,352,512,224,4096,224,1024,224,512,352,512,224,4096,224,1024,224}</t>
    <phoneticPr fontId="1" type="noConversion"/>
  </si>
  <si>
    <t>{1,3.5,6,8.5,11,13.5,16,18.5,21,23.5,26,28.5,31,33.5,36}</t>
    <phoneticPr fontId="1" type="noConversion"/>
  </si>
  <si>
    <t>{256,0}</t>
    <phoneticPr fontId="1" type="noConversion"/>
  </si>
  <si>
    <t>{0}</t>
    <phoneticPr fontId="1" type="noConversion"/>
  </si>
  <si>
    <r>
      <rPr>
        <sz val="11"/>
        <color theme="1"/>
        <rFont val="宋体"/>
        <family val="3"/>
        <charset val="134"/>
      </rPr>
      <t>只刷</t>
    </r>
    <r>
      <rPr>
        <sz val="11"/>
        <color theme="1"/>
        <rFont val="Tahoma"/>
        <family val="2"/>
        <charset val="134"/>
      </rPr>
      <t>1</t>
    </r>
    <r>
      <rPr>
        <sz val="11"/>
        <color theme="1"/>
        <rFont val="宋体"/>
        <family val="3"/>
        <charset val="134"/>
      </rPr>
      <t>个怪（上古紫</t>
    </r>
    <r>
      <rPr>
        <sz val="11"/>
        <color theme="1"/>
        <rFont val="Tahoma"/>
        <family val="2"/>
        <charset val="134"/>
      </rPr>
      <t>1</t>
    </r>
    <r>
      <rPr>
        <sz val="11"/>
        <color theme="1"/>
        <rFont val="宋体"/>
        <family val="3"/>
        <charset val="134"/>
      </rPr>
      <t>个，职业随机，种族随机）用作特殊剧情</t>
    </r>
    <phoneticPr fontId="1" type="noConversion"/>
  </si>
  <si>
    <t>{128,2048,128,2048,256,2048,128,2048,256,2048,128,2048,256,2048,128,2048,128,2048,128,2048,128,2048,128,2048}</t>
    <phoneticPr fontId="1" type="noConversion"/>
  </si>
  <si>
    <t>{0,1,3.5,6,8.5,11,13.5,16,18.5,21,23.5,26}</t>
    <phoneticPr fontId="1" type="noConversion"/>
  </si>
  <si>
    <t>插曲10-2，9个超凡+3个上古，无辅助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</si>
</sst>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Tahoma"/>
      <family val="3"/>
      <charset val="134"/>
    </font>
    <font>
      <sz val="11"/>
      <color rgb="FFFF0000"/>
      <name val="宋体"/>
      <family val="3"/>
      <charset val="134"/>
    </font>
    <font>
      <sz val="11"/>
      <color theme="2" tint="-0.74999237037263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1" xfId="0" applyBorder="1"/>
    <xf numFmtId="0" fontId="3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3"/>
  <sheetViews>
    <sheetView tabSelected="1" topLeftCell="A59" zoomScale="115" zoomScaleNormal="115" workbookViewId="0">
      <pane xSplit="1" topLeftCell="C1" activePane="topRight" state="frozen"/>
      <selection pane="topRight" activeCell="D86" sqref="D86"/>
    </sheetView>
  </sheetViews>
  <sheetFormatPr defaultRowHeight="14.25" x14ac:dyDescent="0.2"/>
  <cols>
    <col min="1" max="1" width="6.75" style="2" customWidth="1"/>
    <col min="2" max="2" width="10.125" style="2" customWidth="1"/>
    <col min="3" max="3" width="89.875" style="2" customWidth="1"/>
    <col min="4" max="4" width="48.125" style="2" customWidth="1"/>
    <col min="5" max="5" width="54.75" bestFit="1" customWidth="1"/>
    <col min="6" max="6" width="43.75" customWidth="1"/>
    <col min="7" max="8" width="11.625" bestFit="1" customWidth="1"/>
  </cols>
  <sheetData>
    <row r="1" spans="1:9" x14ac:dyDescent="0.2">
      <c r="A1" s="1" t="s">
        <v>4</v>
      </c>
      <c r="B1" s="1" t="s">
        <v>16</v>
      </c>
      <c r="C1" s="1" t="s">
        <v>15</v>
      </c>
      <c r="D1" s="1" t="s">
        <v>9</v>
      </c>
      <c r="E1" s="1" t="s">
        <v>34</v>
      </c>
      <c r="F1" s="3" t="s">
        <v>64</v>
      </c>
    </row>
    <row r="2" spans="1:9" x14ac:dyDescent="0.2">
      <c r="A2" s="1" t="s">
        <v>0</v>
      </c>
      <c r="B2" s="1" t="s">
        <v>0</v>
      </c>
    </row>
    <row r="3" spans="1:9" x14ac:dyDescent="0.2">
      <c r="A3" s="2" t="s">
        <v>1</v>
      </c>
      <c r="B3" s="2" t="s">
        <v>17</v>
      </c>
      <c r="C3" s="2" t="s">
        <v>6</v>
      </c>
      <c r="D3" s="2" t="s">
        <v>10</v>
      </c>
    </row>
    <row r="4" spans="1:9" x14ac:dyDescent="0.2">
      <c r="A4" s="2" t="s">
        <v>2</v>
      </c>
      <c r="D4" s="2" t="s">
        <v>7</v>
      </c>
    </row>
    <row r="5" spans="1:9" x14ac:dyDescent="0.2">
      <c r="A5" s="2" t="s">
        <v>3</v>
      </c>
      <c r="B5" s="2" t="s">
        <v>5</v>
      </c>
      <c r="C5" s="2" t="s">
        <v>8</v>
      </c>
      <c r="D5" s="2" t="s">
        <v>11</v>
      </c>
    </row>
    <row r="6" spans="1:9" x14ac:dyDescent="0.2">
      <c r="A6" s="2">
        <v>1</v>
      </c>
      <c r="B6" s="2">
        <v>0</v>
      </c>
      <c r="C6" s="2" t="s">
        <v>51</v>
      </c>
      <c r="D6" s="2" t="s">
        <v>56</v>
      </c>
      <c r="E6" s="5" t="s">
        <v>53</v>
      </c>
    </row>
    <row r="7" spans="1:9" x14ac:dyDescent="0.2">
      <c r="A7" s="2">
        <v>2</v>
      </c>
      <c r="B7" s="2">
        <v>0</v>
      </c>
      <c r="C7" s="2" t="s">
        <v>24</v>
      </c>
      <c r="D7" s="2" t="s">
        <v>56</v>
      </c>
      <c r="E7" s="3" t="s">
        <v>75</v>
      </c>
      <c r="F7" s="3" t="s">
        <v>74</v>
      </c>
    </row>
    <row r="8" spans="1:9" x14ac:dyDescent="0.2">
      <c r="A8" s="2">
        <v>3</v>
      </c>
      <c r="B8" s="2">
        <v>0</v>
      </c>
      <c r="C8" s="2" t="s">
        <v>130</v>
      </c>
      <c r="D8" s="2" t="s">
        <v>76</v>
      </c>
      <c r="E8" s="3" t="s">
        <v>77</v>
      </c>
      <c r="F8" s="3" t="s">
        <v>74</v>
      </c>
    </row>
    <row r="9" spans="1:9" x14ac:dyDescent="0.2">
      <c r="A9" s="2">
        <v>4</v>
      </c>
      <c r="B9" s="2">
        <v>0</v>
      </c>
      <c r="C9" s="2" t="s">
        <v>80</v>
      </c>
      <c r="D9" s="2" t="s">
        <v>76</v>
      </c>
      <c r="E9" s="3" t="s">
        <v>59</v>
      </c>
      <c r="F9" s="3" t="s">
        <v>116</v>
      </c>
      <c r="H9" s="3"/>
      <c r="I9" s="3"/>
    </row>
    <row r="10" spans="1:9" x14ac:dyDescent="0.2">
      <c r="A10" s="2">
        <v>5</v>
      </c>
      <c r="B10" s="2">
        <v>0</v>
      </c>
      <c r="C10" s="2" t="s">
        <v>132</v>
      </c>
      <c r="D10" s="2" t="s">
        <v>52</v>
      </c>
      <c r="E10" s="3" t="s">
        <v>78</v>
      </c>
      <c r="F10" s="3" t="s">
        <v>117</v>
      </c>
      <c r="H10" s="3"/>
      <c r="I10" s="3"/>
    </row>
    <row r="11" spans="1:9" x14ac:dyDescent="0.2">
      <c r="A11" s="2">
        <v>6</v>
      </c>
      <c r="B11" s="2">
        <v>0</v>
      </c>
      <c r="C11" s="2" t="s">
        <v>81</v>
      </c>
      <c r="D11" s="2" t="s">
        <v>82</v>
      </c>
      <c r="E11" s="3" t="s">
        <v>62</v>
      </c>
      <c r="F11" s="3" t="s">
        <v>118</v>
      </c>
      <c r="G11" t="s">
        <v>139</v>
      </c>
      <c r="H11" s="3"/>
      <c r="I11" s="3"/>
    </row>
    <row r="12" spans="1:9" x14ac:dyDescent="0.2">
      <c r="A12" s="2">
        <v>7</v>
      </c>
      <c r="B12" s="2">
        <v>0</v>
      </c>
      <c r="C12" s="2" t="s">
        <v>138</v>
      </c>
      <c r="D12" s="2" t="s">
        <v>52</v>
      </c>
      <c r="E12" s="3" t="s">
        <v>79</v>
      </c>
      <c r="F12" s="3" t="s">
        <v>119</v>
      </c>
      <c r="G12" t="s">
        <v>140</v>
      </c>
      <c r="H12" s="3"/>
      <c r="I12" s="3"/>
    </row>
    <row r="13" spans="1:9" x14ac:dyDescent="0.2">
      <c r="A13" s="2">
        <v>8</v>
      </c>
      <c r="B13" s="2">
        <v>0</v>
      </c>
      <c r="C13" s="2" t="s">
        <v>134</v>
      </c>
      <c r="D13" s="2" t="s">
        <v>135</v>
      </c>
      <c r="E13" s="3" t="s">
        <v>65</v>
      </c>
      <c r="F13" s="3" t="s">
        <v>120</v>
      </c>
      <c r="G13" t="s">
        <v>141</v>
      </c>
      <c r="H13" s="3"/>
      <c r="I13" s="3"/>
    </row>
    <row r="14" spans="1:9" x14ac:dyDescent="0.2">
      <c r="A14" s="2">
        <v>9</v>
      </c>
      <c r="B14" s="2">
        <v>0</v>
      </c>
      <c r="C14" s="2" t="s">
        <v>139</v>
      </c>
      <c r="D14" s="2" t="s">
        <v>52</v>
      </c>
      <c r="E14" s="3" t="s">
        <v>66</v>
      </c>
      <c r="F14" s="3" t="s">
        <v>120</v>
      </c>
      <c r="H14" s="3"/>
      <c r="I14" s="3"/>
    </row>
    <row r="15" spans="1:9" x14ac:dyDescent="0.2">
      <c r="A15" s="2">
        <v>10</v>
      </c>
      <c r="B15" s="2">
        <v>0</v>
      </c>
      <c r="C15" s="2" t="s">
        <v>140</v>
      </c>
      <c r="D15" s="2" t="s">
        <v>136</v>
      </c>
      <c r="E15" s="3" t="s">
        <v>67</v>
      </c>
      <c r="F15" s="3" t="s">
        <v>120</v>
      </c>
      <c r="H15" s="3"/>
      <c r="I15" s="3"/>
    </row>
    <row r="16" spans="1:9" x14ac:dyDescent="0.2">
      <c r="A16" s="2">
        <v>11</v>
      </c>
      <c r="B16" s="2">
        <v>0</v>
      </c>
      <c r="C16" s="2" t="s">
        <v>141</v>
      </c>
      <c r="D16" s="2" t="s">
        <v>137</v>
      </c>
      <c r="E16" s="3" t="s">
        <v>68</v>
      </c>
      <c r="F16" s="3" t="s">
        <v>120</v>
      </c>
      <c r="H16" s="3"/>
      <c r="I16" s="3"/>
    </row>
    <row r="17" spans="1:9" x14ac:dyDescent="0.2">
      <c r="A17" s="2">
        <v>12</v>
      </c>
      <c r="B17" s="2">
        <v>0</v>
      </c>
      <c r="C17" s="2" t="s">
        <v>83</v>
      </c>
      <c r="D17" s="2" t="s">
        <v>76</v>
      </c>
      <c r="E17" s="3" t="s">
        <v>69</v>
      </c>
      <c r="F17" s="3" t="s">
        <v>121</v>
      </c>
      <c r="H17" s="3"/>
      <c r="I17" s="3"/>
    </row>
    <row r="18" spans="1:9" x14ac:dyDescent="0.2">
      <c r="A18" s="2">
        <v>13</v>
      </c>
      <c r="B18" s="2">
        <v>0</v>
      </c>
      <c r="C18" s="2" t="s">
        <v>85</v>
      </c>
      <c r="D18" s="2" t="s">
        <v>52</v>
      </c>
      <c r="E18" s="3" t="s">
        <v>70</v>
      </c>
      <c r="F18" s="3" t="s">
        <v>121</v>
      </c>
      <c r="H18" s="3"/>
      <c r="I18" s="3"/>
    </row>
    <row r="19" spans="1:9" x14ac:dyDescent="0.2">
      <c r="A19" s="2">
        <v>14</v>
      </c>
      <c r="B19" s="2">
        <v>0</v>
      </c>
      <c r="C19" s="2" t="s">
        <v>84</v>
      </c>
      <c r="D19" s="2" t="s">
        <v>82</v>
      </c>
      <c r="E19" s="3" t="s">
        <v>71</v>
      </c>
      <c r="F19" s="3" t="s">
        <v>121</v>
      </c>
      <c r="H19" s="3"/>
      <c r="I19" s="3"/>
    </row>
    <row r="20" spans="1:9" x14ac:dyDescent="0.2">
      <c r="A20" s="2">
        <v>15</v>
      </c>
      <c r="B20" s="2">
        <v>0</v>
      </c>
      <c r="C20" s="2" t="s">
        <v>86</v>
      </c>
      <c r="D20" s="2" t="s">
        <v>76</v>
      </c>
      <c r="E20" s="3" t="s">
        <v>72</v>
      </c>
      <c r="F20" s="3" t="s">
        <v>121</v>
      </c>
      <c r="H20" s="3"/>
      <c r="I20" s="3"/>
    </row>
    <row r="21" spans="1:9" x14ac:dyDescent="0.2">
      <c r="A21" s="2">
        <v>16</v>
      </c>
      <c r="B21" s="2">
        <v>0</v>
      </c>
      <c r="C21" s="2" t="s">
        <v>91</v>
      </c>
      <c r="D21" s="2" t="s">
        <v>92</v>
      </c>
      <c r="E21" s="3" t="s">
        <v>87</v>
      </c>
      <c r="F21" s="3" t="s">
        <v>125</v>
      </c>
      <c r="H21" s="3"/>
      <c r="I21" s="3"/>
    </row>
    <row r="22" spans="1:9" x14ac:dyDescent="0.2">
      <c r="A22" s="2">
        <v>17</v>
      </c>
      <c r="B22" s="2">
        <v>0</v>
      </c>
      <c r="C22" s="2" t="s">
        <v>142</v>
      </c>
      <c r="D22" s="2" t="s">
        <v>143</v>
      </c>
      <c r="E22" s="3" t="s">
        <v>88</v>
      </c>
      <c r="F22" s="3" t="s">
        <v>124</v>
      </c>
      <c r="H22" s="3"/>
      <c r="I22" s="3"/>
    </row>
    <row r="23" spans="1:9" x14ac:dyDescent="0.2">
      <c r="A23" s="2">
        <v>18</v>
      </c>
      <c r="B23" s="2">
        <v>0</v>
      </c>
      <c r="C23" s="2" t="s">
        <v>93</v>
      </c>
      <c r="D23" s="2" t="s">
        <v>92</v>
      </c>
      <c r="E23" s="3" t="s">
        <v>89</v>
      </c>
      <c r="F23" s="3" t="s">
        <v>126</v>
      </c>
      <c r="H23" s="3"/>
      <c r="I23" s="3"/>
    </row>
    <row r="24" spans="1:9" x14ac:dyDescent="0.2">
      <c r="A24" s="2">
        <v>19</v>
      </c>
      <c r="B24" s="2">
        <v>0</v>
      </c>
      <c r="C24" s="2" t="s">
        <v>144</v>
      </c>
      <c r="D24" s="2" t="s">
        <v>133</v>
      </c>
      <c r="E24" s="3" t="s">
        <v>90</v>
      </c>
      <c r="F24" s="3" t="s">
        <v>127</v>
      </c>
      <c r="H24" s="3"/>
      <c r="I24" s="3"/>
    </row>
    <row r="25" spans="1:9" x14ac:dyDescent="0.2">
      <c r="A25" s="2">
        <v>20</v>
      </c>
      <c r="B25" s="2">
        <v>0</v>
      </c>
      <c r="C25" s="2" t="s">
        <v>145</v>
      </c>
      <c r="D25" s="2" t="s">
        <v>133</v>
      </c>
      <c r="E25" s="3" t="s">
        <v>94</v>
      </c>
      <c r="F25" s="3" t="s">
        <v>128</v>
      </c>
      <c r="H25" s="3"/>
      <c r="I25" s="3"/>
    </row>
    <row r="26" spans="1:9" x14ac:dyDescent="0.2">
      <c r="A26" s="2">
        <v>21</v>
      </c>
      <c r="B26" s="2">
        <v>0</v>
      </c>
      <c r="C26" s="2" t="s">
        <v>146</v>
      </c>
      <c r="D26" s="2" t="s">
        <v>133</v>
      </c>
      <c r="E26" s="3" t="s">
        <v>95</v>
      </c>
      <c r="F26" s="3" t="s">
        <v>122</v>
      </c>
      <c r="H26" s="3"/>
      <c r="I26" s="3"/>
    </row>
    <row r="27" spans="1:9" x14ac:dyDescent="0.2">
      <c r="A27" s="2">
        <v>22</v>
      </c>
      <c r="B27" s="2">
        <v>0</v>
      </c>
      <c r="C27" s="2" t="s">
        <v>147</v>
      </c>
      <c r="D27" s="2" t="s">
        <v>133</v>
      </c>
      <c r="E27" s="3" t="s">
        <v>96</v>
      </c>
      <c r="F27" s="3" t="s">
        <v>122</v>
      </c>
      <c r="H27" s="3"/>
      <c r="I27" s="3"/>
    </row>
    <row r="28" spans="1:9" x14ac:dyDescent="0.2">
      <c r="A28" s="2">
        <v>23</v>
      </c>
      <c r="B28" s="2">
        <v>0</v>
      </c>
      <c r="C28" s="2" t="s">
        <v>148</v>
      </c>
      <c r="D28" s="2" t="s">
        <v>133</v>
      </c>
      <c r="E28" s="3" t="s">
        <v>97</v>
      </c>
      <c r="F28" s="3" t="s">
        <v>122</v>
      </c>
      <c r="H28" s="3"/>
      <c r="I28" s="3"/>
    </row>
    <row r="29" spans="1:9" x14ac:dyDescent="0.2">
      <c r="A29" s="2">
        <v>24</v>
      </c>
      <c r="B29" s="2">
        <v>0</v>
      </c>
      <c r="C29" s="2" t="s">
        <v>149</v>
      </c>
      <c r="D29" s="2" t="s">
        <v>150</v>
      </c>
      <c r="E29" s="3" t="s">
        <v>98</v>
      </c>
      <c r="F29" s="3" t="s">
        <v>123</v>
      </c>
      <c r="H29" s="3"/>
      <c r="I29" s="3"/>
    </row>
    <row r="30" spans="1:9" x14ac:dyDescent="0.2">
      <c r="A30" s="2">
        <v>25</v>
      </c>
      <c r="B30" s="2">
        <v>0</v>
      </c>
      <c r="C30" s="2" t="s">
        <v>102</v>
      </c>
      <c r="D30" s="2" t="s">
        <v>103</v>
      </c>
      <c r="E30" s="3" t="s">
        <v>99</v>
      </c>
      <c r="F30" s="3" t="s">
        <v>123</v>
      </c>
      <c r="H30" s="3"/>
      <c r="I30" s="3"/>
    </row>
    <row r="31" spans="1:9" x14ac:dyDescent="0.2">
      <c r="A31" s="2">
        <v>26</v>
      </c>
      <c r="B31" s="2">
        <v>0</v>
      </c>
      <c r="C31" s="2" t="s">
        <v>104</v>
      </c>
      <c r="D31" s="2" t="s">
        <v>76</v>
      </c>
      <c r="E31" s="3" t="s">
        <v>100</v>
      </c>
      <c r="F31" s="3" t="s">
        <v>123</v>
      </c>
      <c r="H31" s="3"/>
      <c r="I31" s="3"/>
    </row>
    <row r="32" spans="1:9" x14ac:dyDescent="0.2">
      <c r="A32" s="2">
        <v>27</v>
      </c>
      <c r="B32" s="2">
        <v>0</v>
      </c>
      <c r="C32" s="2" t="s">
        <v>105</v>
      </c>
      <c r="D32" s="2" t="s">
        <v>76</v>
      </c>
      <c r="E32" s="3" t="s">
        <v>101</v>
      </c>
      <c r="F32" s="3" t="s">
        <v>123</v>
      </c>
      <c r="H32" s="3"/>
      <c r="I32" s="3"/>
    </row>
    <row r="33" spans="1:6" x14ac:dyDescent="0.2">
      <c r="A33" s="2">
        <v>28</v>
      </c>
      <c r="B33" s="2">
        <v>0</v>
      </c>
      <c r="C33" s="2" t="s">
        <v>24</v>
      </c>
      <c r="D33" s="2" t="s">
        <v>56</v>
      </c>
      <c r="E33" s="3" t="s">
        <v>57</v>
      </c>
      <c r="F33" s="3" t="s">
        <v>110</v>
      </c>
    </row>
    <row r="34" spans="1:6" x14ac:dyDescent="0.2">
      <c r="A34" s="2">
        <v>29</v>
      </c>
      <c r="B34" s="2">
        <v>0</v>
      </c>
      <c r="C34" s="2" t="s">
        <v>130</v>
      </c>
      <c r="D34" s="2" t="s">
        <v>131</v>
      </c>
      <c r="E34" s="3" t="s">
        <v>58</v>
      </c>
      <c r="F34" s="3" t="s">
        <v>111</v>
      </c>
    </row>
    <row r="35" spans="1:6" x14ac:dyDescent="0.2">
      <c r="A35" s="2">
        <v>30</v>
      </c>
      <c r="B35" s="2">
        <v>0</v>
      </c>
      <c r="C35" s="2" t="s">
        <v>80</v>
      </c>
      <c r="D35" s="2" t="s">
        <v>56</v>
      </c>
      <c r="E35" s="3" t="s">
        <v>60</v>
      </c>
      <c r="F35" s="3" t="s">
        <v>112</v>
      </c>
    </row>
    <row r="36" spans="1:6" x14ac:dyDescent="0.2">
      <c r="A36" s="2">
        <v>31</v>
      </c>
      <c r="B36" s="2">
        <v>0</v>
      </c>
      <c r="C36" s="2" t="s">
        <v>106</v>
      </c>
      <c r="D36" s="2" t="s">
        <v>107</v>
      </c>
      <c r="E36" s="3" t="s">
        <v>61</v>
      </c>
      <c r="F36" s="3" t="s">
        <v>113</v>
      </c>
    </row>
    <row r="37" spans="1:6" x14ac:dyDescent="0.2">
      <c r="A37" s="2">
        <v>32</v>
      </c>
      <c r="B37" s="2">
        <v>0</v>
      </c>
      <c r="C37" s="2" t="s">
        <v>81</v>
      </c>
      <c r="D37" s="2" t="s">
        <v>56</v>
      </c>
      <c r="E37" s="3" t="s">
        <v>63</v>
      </c>
      <c r="F37" s="3" t="s">
        <v>114</v>
      </c>
    </row>
    <row r="38" spans="1:6" x14ac:dyDescent="0.2">
      <c r="A38" s="2">
        <v>33</v>
      </c>
      <c r="B38" s="2">
        <v>0</v>
      </c>
      <c r="C38" s="2" t="s">
        <v>108</v>
      </c>
      <c r="D38" s="2" t="s">
        <v>109</v>
      </c>
      <c r="E38" s="3" t="s">
        <v>154</v>
      </c>
      <c r="F38" s="3" t="s">
        <v>115</v>
      </c>
    </row>
    <row r="39" spans="1:6" x14ac:dyDescent="0.2">
      <c r="A39" s="2">
        <v>34</v>
      </c>
      <c r="B39" s="2">
        <v>0</v>
      </c>
      <c r="C39" s="2" t="s">
        <v>55</v>
      </c>
      <c r="D39" s="2" t="s">
        <v>109</v>
      </c>
      <c r="E39" s="3" t="s">
        <v>73</v>
      </c>
      <c r="F39" s="3" t="s">
        <v>129</v>
      </c>
    </row>
    <row r="40" spans="1:6" x14ac:dyDescent="0.2">
      <c r="A40" s="2">
        <v>35</v>
      </c>
      <c r="B40" s="2">
        <v>0</v>
      </c>
      <c r="C40" s="2" t="s">
        <v>156</v>
      </c>
      <c r="D40" s="2" t="s">
        <v>52</v>
      </c>
      <c r="E40" s="3" t="s">
        <v>155</v>
      </c>
      <c r="F40" s="3"/>
    </row>
    <row r="41" spans="1:6" x14ac:dyDescent="0.2">
      <c r="A41" s="2">
        <v>40</v>
      </c>
      <c r="B41" s="2">
        <v>0</v>
      </c>
      <c r="C41" s="2" t="s">
        <v>210</v>
      </c>
      <c r="D41" s="2" t="s">
        <v>211</v>
      </c>
      <c r="E41" s="6" t="s">
        <v>201</v>
      </c>
    </row>
    <row r="42" spans="1:6" x14ac:dyDescent="0.2">
      <c r="A42" s="2">
        <v>41</v>
      </c>
      <c r="B42" s="2">
        <v>0</v>
      </c>
      <c r="C42" s="2" t="s">
        <v>212</v>
      </c>
      <c r="D42" s="2" t="s">
        <v>211</v>
      </c>
      <c r="E42" s="6" t="s">
        <v>202</v>
      </c>
      <c r="F42" s="3"/>
    </row>
    <row r="43" spans="1:6" x14ac:dyDescent="0.2">
      <c r="A43" s="2">
        <v>42</v>
      </c>
      <c r="B43" s="2">
        <v>0</v>
      </c>
      <c r="C43" s="2" t="s">
        <v>213</v>
      </c>
      <c r="D43" s="2" t="s">
        <v>214</v>
      </c>
      <c r="E43" s="6" t="s">
        <v>203</v>
      </c>
      <c r="F43" s="3"/>
    </row>
    <row r="44" spans="1:6" x14ac:dyDescent="0.2">
      <c r="A44" s="2">
        <v>43</v>
      </c>
      <c r="B44" s="2">
        <v>0</v>
      </c>
      <c r="C44" s="2" t="s">
        <v>215</v>
      </c>
      <c r="D44" s="2" t="s">
        <v>211</v>
      </c>
      <c r="E44" s="6" t="s">
        <v>204</v>
      </c>
      <c r="F44" s="3"/>
    </row>
    <row r="45" spans="1:6" x14ac:dyDescent="0.2">
      <c r="A45" s="2">
        <v>44</v>
      </c>
      <c r="B45" s="2">
        <v>0</v>
      </c>
      <c r="C45" s="2" t="s">
        <v>216</v>
      </c>
      <c r="D45" s="2" t="s">
        <v>217</v>
      </c>
      <c r="E45" s="6" t="s">
        <v>205</v>
      </c>
      <c r="F45" s="3"/>
    </row>
    <row r="46" spans="1:6" x14ac:dyDescent="0.2">
      <c r="A46" s="2">
        <v>45</v>
      </c>
      <c r="B46" s="2">
        <v>0</v>
      </c>
      <c r="C46" s="2" t="s">
        <v>218</v>
      </c>
      <c r="D46" s="2" t="s">
        <v>214</v>
      </c>
      <c r="E46" s="6" t="s">
        <v>206</v>
      </c>
      <c r="F46" s="3"/>
    </row>
    <row r="47" spans="1:6" x14ac:dyDescent="0.2">
      <c r="A47" s="2">
        <v>46</v>
      </c>
      <c r="B47" s="2">
        <v>0</v>
      </c>
      <c r="C47" s="2" t="s">
        <v>219</v>
      </c>
      <c r="D47" s="2" t="s">
        <v>220</v>
      </c>
      <c r="E47" s="6" t="s">
        <v>207</v>
      </c>
      <c r="F47" s="3"/>
    </row>
    <row r="48" spans="1:6" x14ac:dyDescent="0.2">
      <c r="A48" s="2">
        <v>47</v>
      </c>
      <c r="B48" s="2">
        <v>0</v>
      </c>
      <c r="C48" s="2" t="s">
        <v>221</v>
      </c>
      <c r="D48" s="2" t="s">
        <v>220</v>
      </c>
      <c r="E48" s="6" t="s">
        <v>225</v>
      </c>
      <c r="F48" s="3"/>
    </row>
    <row r="49" spans="1:6" x14ac:dyDescent="0.2">
      <c r="A49" s="2">
        <v>48</v>
      </c>
      <c r="B49" s="2">
        <v>0</v>
      </c>
      <c r="C49" s="2" t="s">
        <v>222</v>
      </c>
      <c r="D49" s="2" t="s">
        <v>211</v>
      </c>
      <c r="E49" s="6" t="s">
        <v>226</v>
      </c>
      <c r="F49" s="3"/>
    </row>
    <row r="50" spans="1:6" x14ac:dyDescent="0.2">
      <c r="A50" s="2">
        <v>49</v>
      </c>
      <c r="B50" s="2">
        <v>0</v>
      </c>
      <c r="C50" s="2" t="s">
        <v>223</v>
      </c>
      <c r="D50" s="2" t="s">
        <v>211</v>
      </c>
      <c r="E50" s="6" t="s">
        <v>227</v>
      </c>
      <c r="F50" s="3"/>
    </row>
    <row r="51" spans="1:6" x14ac:dyDescent="0.2">
      <c r="A51" s="2">
        <v>50</v>
      </c>
      <c r="B51" s="2">
        <v>0</v>
      </c>
      <c r="C51" s="2" t="s">
        <v>224</v>
      </c>
      <c r="D51" s="2" t="s">
        <v>211</v>
      </c>
      <c r="E51" s="6" t="s">
        <v>228</v>
      </c>
      <c r="F51" s="3"/>
    </row>
    <row r="52" spans="1:6" x14ac:dyDescent="0.2">
      <c r="A52" s="2">
        <v>57</v>
      </c>
      <c r="B52" s="2">
        <v>0</v>
      </c>
      <c r="C52" s="2" t="s">
        <v>151</v>
      </c>
      <c r="D52" s="2" t="s">
        <v>54</v>
      </c>
      <c r="E52" s="6" t="s">
        <v>208</v>
      </c>
    </row>
    <row r="53" spans="1:6" x14ac:dyDescent="0.2">
      <c r="A53" s="2">
        <v>58</v>
      </c>
      <c r="B53" s="2">
        <v>0</v>
      </c>
      <c r="C53" s="2" t="s">
        <v>152</v>
      </c>
      <c r="D53" s="2" t="s">
        <v>153</v>
      </c>
      <c r="E53" s="6" t="s">
        <v>209</v>
      </c>
    </row>
    <row r="54" spans="1:6" x14ac:dyDescent="0.2">
      <c r="A54" s="2">
        <v>60</v>
      </c>
      <c r="B54" s="2">
        <v>0</v>
      </c>
      <c r="C54" s="2" t="s">
        <v>200</v>
      </c>
      <c r="D54" s="2" t="s">
        <v>199</v>
      </c>
      <c r="E54" t="s">
        <v>158</v>
      </c>
    </row>
    <row r="55" spans="1:6" x14ac:dyDescent="0.2">
      <c r="A55" s="2">
        <v>61</v>
      </c>
      <c r="B55" s="2">
        <v>0</v>
      </c>
      <c r="C55" s="2" t="s">
        <v>159</v>
      </c>
      <c r="D55" s="2" t="s">
        <v>157</v>
      </c>
      <c r="E55" t="s">
        <v>160</v>
      </c>
    </row>
    <row r="56" spans="1:6" x14ac:dyDescent="0.2">
      <c r="A56" s="2">
        <v>62</v>
      </c>
      <c r="B56" s="2">
        <v>0</v>
      </c>
      <c r="C56" s="2" t="s">
        <v>161</v>
      </c>
      <c r="D56" s="2" t="s">
        <v>157</v>
      </c>
      <c r="E56" t="s">
        <v>162</v>
      </c>
    </row>
    <row r="57" spans="1:6" x14ac:dyDescent="0.2">
      <c r="A57" s="2">
        <v>63</v>
      </c>
      <c r="B57" s="2">
        <v>0</v>
      </c>
      <c r="C57" s="2" t="s">
        <v>163</v>
      </c>
      <c r="D57" s="2" t="s">
        <v>157</v>
      </c>
      <c r="E57" t="s">
        <v>164</v>
      </c>
    </row>
    <row r="58" spans="1:6" x14ac:dyDescent="0.2">
      <c r="A58" s="2">
        <v>64</v>
      </c>
      <c r="B58" s="2">
        <v>0</v>
      </c>
      <c r="C58" s="2" t="s">
        <v>165</v>
      </c>
      <c r="D58" s="2" t="s">
        <v>157</v>
      </c>
      <c r="E58" t="s">
        <v>166</v>
      </c>
    </row>
    <row r="59" spans="1:6" x14ac:dyDescent="0.2">
      <c r="A59" s="2">
        <v>65</v>
      </c>
      <c r="B59" s="2">
        <v>0</v>
      </c>
      <c r="C59" s="2" t="s">
        <v>167</v>
      </c>
      <c r="D59" s="2" t="s">
        <v>157</v>
      </c>
      <c r="E59" t="s">
        <v>168</v>
      </c>
    </row>
    <row r="60" spans="1:6" x14ac:dyDescent="0.2">
      <c r="A60" s="2">
        <v>66</v>
      </c>
      <c r="B60" s="2">
        <v>0</v>
      </c>
      <c r="C60" s="2" t="s">
        <v>169</v>
      </c>
      <c r="D60" s="2" t="s">
        <v>157</v>
      </c>
      <c r="E60" t="s">
        <v>170</v>
      </c>
    </row>
    <row r="61" spans="1:6" x14ac:dyDescent="0.2">
      <c r="A61" s="2">
        <v>67</v>
      </c>
      <c r="B61" s="2">
        <v>0</v>
      </c>
      <c r="C61" s="2" t="s">
        <v>171</v>
      </c>
      <c r="D61" s="2" t="s">
        <v>157</v>
      </c>
      <c r="E61" t="s">
        <v>172</v>
      </c>
    </row>
    <row r="62" spans="1:6" x14ac:dyDescent="0.2">
      <c r="A62" s="2">
        <v>68</v>
      </c>
      <c r="B62" s="2">
        <v>0</v>
      </c>
      <c r="C62" s="2" t="s">
        <v>173</v>
      </c>
      <c r="D62" s="2" t="s">
        <v>157</v>
      </c>
      <c r="E62" t="s">
        <v>174</v>
      </c>
    </row>
    <row r="63" spans="1:6" x14ac:dyDescent="0.2">
      <c r="A63" s="2">
        <v>69</v>
      </c>
      <c r="B63" s="2">
        <v>0</v>
      </c>
      <c r="C63" s="2" t="s">
        <v>175</v>
      </c>
      <c r="D63" s="2" t="s">
        <v>157</v>
      </c>
      <c r="E63" t="s">
        <v>176</v>
      </c>
    </row>
    <row r="64" spans="1:6" x14ac:dyDescent="0.2">
      <c r="A64" s="2">
        <v>70</v>
      </c>
      <c r="B64" s="2">
        <v>0</v>
      </c>
      <c r="C64" s="2" t="s">
        <v>177</v>
      </c>
      <c r="D64" s="2" t="s">
        <v>157</v>
      </c>
      <c r="E64" t="s">
        <v>178</v>
      </c>
    </row>
    <row r="65" spans="1:5" x14ac:dyDescent="0.2">
      <c r="A65" s="2">
        <v>71</v>
      </c>
      <c r="B65" s="2">
        <v>0</v>
      </c>
      <c r="C65" s="2" t="s">
        <v>179</v>
      </c>
      <c r="D65" s="2" t="s">
        <v>157</v>
      </c>
      <c r="E65" t="s">
        <v>180</v>
      </c>
    </row>
    <row r="66" spans="1:5" x14ac:dyDescent="0.2">
      <c r="A66" s="2">
        <v>72</v>
      </c>
      <c r="B66" s="2">
        <v>0</v>
      </c>
      <c r="C66" s="2" t="s">
        <v>181</v>
      </c>
      <c r="D66" s="2" t="s">
        <v>157</v>
      </c>
      <c r="E66" t="s">
        <v>182</v>
      </c>
    </row>
    <row r="67" spans="1:5" x14ac:dyDescent="0.2">
      <c r="A67" s="2">
        <v>73</v>
      </c>
      <c r="B67" s="2">
        <v>0</v>
      </c>
      <c r="C67" s="2" t="s">
        <v>183</v>
      </c>
      <c r="D67" s="2" t="s">
        <v>157</v>
      </c>
      <c r="E67" t="s">
        <v>184</v>
      </c>
    </row>
    <row r="68" spans="1:5" x14ac:dyDescent="0.2">
      <c r="A68" s="2">
        <v>80</v>
      </c>
      <c r="B68" s="2">
        <v>0</v>
      </c>
      <c r="C68" s="2" t="s">
        <v>232</v>
      </c>
      <c r="D68" s="2" t="s">
        <v>52</v>
      </c>
      <c r="E68" t="s">
        <v>185</v>
      </c>
    </row>
    <row r="69" spans="1:5" x14ac:dyDescent="0.2">
      <c r="A69" s="2">
        <v>81</v>
      </c>
      <c r="B69" s="2">
        <v>0</v>
      </c>
      <c r="C69" s="2" t="s">
        <v>233</v>
      </c>
      <c r="D69" s="2" t="s">
        <v>234</v>
      </c>
      <c r="E69" t="s">
        <v>186</v>
      </c>
    </row>
    <row r="70" spans="1:5" x14ac:dyDescent="0.2">
      <c r="A70" s="2">
        <v>82</v>
      </c>
      <c r="B70" s="2">
        <v>0</v>
      </c>
      <c r="C70" s="2" t="s">
        <v>235</v>
      </c>
      <c r="D70" s="2" t="s">
        <v>236</v>
      </c>
      <c r="E70" t="s">
        <v>187</v>
      </c>
    </row>
    <row r="71" spans="1:5" x14ac:dyDescent="0.2">
      <c r="A71" s="2">
        <v>83</v>
      </c>
      <c r="B71" s="2">
        <v>0</v>
      </c>
      <c r="C71" s="2" t="s">
        <v>237</v>
      </c>
      <c r="D71" s="2" t="s">
        <v>52</v>
      </c>
      <c r="E71" t="s">
        <v>188</v>
      </c>
    </row>
    <row r="72" spans="1:5" x14ac:dyDescent="0.2">
      <c r="A72" s="2">
        <v>84</v>
      </c>
      <c r="B72" s="2">
        <v>0</v>
      </c>
      <c r="C72" s="2" t="s">
        <v>238</v>
      </c>
      <c r="D72" s="2" t="s">
        <v>52</v>
      </c>
      <c r="E72" t="s">
        <v>189</v>
      </c>
    </row>
    <row r="73" spans="1:5" x14ac:dyDescent="0.2">
      <c r="A73" s="2">
        <v>85</v>
      </c>
      <c r="B73" s="2">
        <v>0</v>
      </c>
      <c r="C73" s="2" t="s">
        <v>239</v>
      </c>
      <c r="D73" s="2" t="s">
        <v>52</v>
      </c>
      <c r="E73" t="s">
        <v>190</v>
      </c>
    </row>
    <row r="74" spans="1:5" x14ac:dyDescent="0.2">
      <c r="A74" s="2">
        <v>86</v>
      </c>
      <c r="B74" s="2">
        <v>0</v>
      </c>
      <c r="C74" s="2" t="s">
        <v>240</v>
      </c>
      <c r="D74" s="2" t="s">
        <v>52</v>
      </c>
      <c r="E74" t="s">
        <v>191</v>
      </c>
    </row>
    <row r="75" spans="1:5" x14ac:dyDescent="0.2">
      <c r="A75" s="2">
        <v>87</v>
      </c>
      <c r="B75" s="2">
        <v>0</v>
      </c>
      <c r="C75" s="2" t="s">
        <v>241</v>
      </c>
      <c r="D75" s="2" t="s">
        <v>234</v>
      </c>
      <c r="E75" t="s">
        <v>192</v>
      </c>
    </row>
    <row r="76" spans="1:5" x14ac:dyDescent="0.2">
      <c r="A76" s="2">
        <v>88</v>
      </c>
      <c r="B76" s="2">
        <v>0</v>
      </c>
      <c r="C76" s="2" t="s">
        <v>242</v>
      </c>
      <c r="D76" s="2" t="s">
        <v>52</v>
      </c>
      <c r="E76" t="s">
        <v>193</v>
      </c>
    </row>
    <row r="77" spans="1:5" x14ac:dyDescent="0.2">
      <c r="A77" s="2">
        <v>89</v>
      </c>
      <c r="B77" s="2">
        <v>0</v>
      </c>
      <c r="C77" s="2" t="s">
        <v>243</v>
      </c>
      <c r="D77" s="2" t="s">
        <v>52</v>
      </c>
      <c r="E77" t="s">
        <v>194</v>
      </c>
    </row>
    <row r="78" spans="1:5" x14ac:dyDescent="0.2">
      <c r="A78" s="2">
        <v>90</v>
      </c>
      <c r="B78" s="2">
        <v>0</v>
      </c>
      <c r="C78" s="2" t="s">
        <v>244</v>
      </c>
      <c r="D78" s="2" t="s">
        <v>245</v>
      </c>
      <c r="E78" t="s">
        <v>195</v>
      </c>
    </row>
    <row r="79" spans="1:5" x14ac:dyDescent="0.2">
      <c r="A79" s="2">
        <v>91</v>
      </c>
      <c r="B79" s="2">
        <v>0</v>
      </c>
      <c r="C79" s="2" t="s">
        <v>229</v>
      </c>
      <c r="D79" s="2" t="s">
        <v>52</v>
      </c>
      <c r="E79" t="s">
        <v>196</v>
      </c>
    </row>
    <row r="80" spans="1:5" x14ac:dyDescent="0.2">
      <c r="A80" s="2">
        <v>92</v>
      </c>
      <c r="B80" s="2">
        <v>0</v>
      </c>
      <c r="C80" s="2" t="s">
        <v>230</v>
      </c>
      <c r="D80" s="2" t="s">
        <v>52</v>
      </c>
      <c r="E80" t="s">
        <v>197</v>
      </c>
    </row>
    <row r="81" spans="1:6" x14ac:dyDescent="0.2">
      <c r="A81" s="2">
        <v>93</v>
      </c>
      <c r="B81" s="2">
        <v>0</v>
      </c>
      <c r="C81" s="2" t="s">
        <v>231</v>
      </c>
      <c r="D81" s="2" t="s">
        <v>52</v>
      </c>
      <c r="E81" t="s">
        <v>198</v>
      </c>
    </row>
    <row r="82" spans="1:6" x14ac:dyDescent="0.2">
      <c r="A82" s="2">
        <v>94</v>
      </c>
      <c r="B82" s="2">
        <v>0</v>
      </c>
      <c r="C82" s="2" t="s">
        <v>246</v>
      </c>
      <c r="D82" s="2" t="s">
        <v>247</v>
      </c>
      <c r="E82" t="s">
        <v>248</v>
      </c>
    </row>
    <row r="83" spans="1:6" x14ac:dyDescent="0.2">
      <c r="A83" s="2">
        <v>95</v>
      </c>
      <c r="B83" s="2">
        <v>2</v>
      </c>
      <c r="C83" s="2" t="s">
        <v>249</v>
      </c>
      <c r="D83" s="2" t="s">
        <v>250</v>
      </c>
      <c r="E83" t="s">
        <v>251</v>
      </c>
      <c r="F83" s="3"/>
    </row>
  </sheetData>
  <phoneticPr fontId="1" type="noConversion"/>
  <conditionalFormatting sqref="E52">
    <cfRule type="duplicateValues" dxfId="3" priority="3"/>
  </conditionalFormatting>
  <conditionalFormatting sqref="E53">
    <cfRule type="duplicateValues" dxfId="2" priority="2"/>
  </conditionalFormatting>
  <conditionalFormatting sqref="E41:E51">
    <cfRule type="duplicateValues" dxfId="1" priority="5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D7:D15"/>
  <sheetViews>
    <sheetView workbookViewId="0">
      <selection activeCell="D7" sqref="D7:D15"/>
    </sheetView>
  </sheetViews>
  <sheetFormatPr defaultRowHeight="14.25" x14ac:dyDescent="0.2"/>
  <cols>
    <col min="4" max="4" width="89.125" bestFit="1" customWidth="1"/>
  </cols>
  <sheetData>
    <row r="7" spans="4:4" x14ac:dyDescent="0.2">
      <c r="D7" s="2" t="s">
        <v>26</v>
      </c>
    </row>
    <row r="8" spans="4:4" x14ac:dyDescent="0.2">
      <c r="D8" s="2" t="s">
        <v>25</v>
      </c>
    </row>
    <row r="9" spans="4:4" x14ac:dyDescent="0.2">
      <c r="D9" s="2" t="s">
        <v>27</v>
      </c>
    </row>
    <row r="10" spans="4:4" x14ac:dyDescent="0.2">
      <c r="D10" s="2" t="s">
        <v>28</v>
      </c>
    </row>
    <row r="11" spans="4:4" x14ac:dyDescent="0.2">
      <c r="D11" s="2" t="s">
        <v>29</v>
      </c>
    </row>
    <row r="12" spans="4:4" x14ac:dyDescent="0.2">
      <c r="D12" s="2" t="s">
        <v>30</v>
      </c>
    </row>
    <row r="13" spans="4:4" x14ac:dyDescent="0.2">
      <c r="D13" s="2" t="s">
        <v>31</v>
      </c>
    </row>
    <row r="14" spans="4:4" x14ac:dyDescent="0.2">
      <c r="D14" s="2" t="s">
        <v>32</v>
      </c>
    </row>
    <row r="15" spans="4:4" x14ac:dyDescent="0.2">
      <c r="D15" s="2" t="s">
        <v>33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28"/>
  <sheetViews>
    <sheetView workbookViewId="0">
      <selection activeCell="C1" sqref="C1:Q1"/>
    </sheetView>
  </sheetViews>
  <sheetFormatPr defaultRowHeight="14.25" x14ac:dyDescent="0.2"/>
  <sheetData>
    <row r="1" spans="1:17" x14ac:dyDescent="0.2">
      <c r="A1">
        <v>1</v>
      </c>
      <c r="C1">
        <v>1</v>
      </c>
      <c r="D1">
        <f t="shared" ref="D1:Q1" si="0">C1+2.5</f>
        <v>3.5</v>
      </c>
      <c r="E1">
        <f t="shared" si="0"/>
        <v>6</v>
      </c>
      <c r="F1">
        <f t="shared" si="0"/>
        <v>8.5</v>
      </c>
      <c r="G1">
        <f t="shared" si="0"/>
        <v>11</v>
      </c>
      <c r="H1">
        <f t="shared" si="0"/>
        <v>13.5</v>
      </c>
      <c r="I1">
        <f t="shared" si="0"/>
        <v>16</v>
      </c>
      <c r="J1">
        <f t="shared" si="0"/>
        <v>18.5</v>
      </c>
      <c r="K1">
        <f t="shared" si="0"/>
        <v>21</v>
      </c>
      <c r="L1">
        <f t="shared" si="0"/>
        <v>23.5</v>
      </c>
      <c r="M1">
        <f t="shared" si="0"/>
        <v>26</v>
      </c>
      <c r="N1">
        <f t="shared" si="0"/>
        <v>28.5</v>
      </c>
      <c r="O1">
        <f t="shared" si="0"/>
        <v>31</v>
      </c>
      <c r="P1">
        <f t="shared" si="0"/>
        <v>33.5</v>
      </c>
      <c r="Q1">
        <f t="shared" si="0"/>
        <v>36</v>
      </c>
    </row>
    <row r="2" spans="1:17" x14ac:dyDescent="0.2">
      <c r="A2">
        <f>A1+2.5</f>
        <v>3.5</v>
      </c>
    </row>
    <row r="3" spans="1:17" x14ac:dyDescent="0.2">
      <c r="A3">
        <f t="shared" ref="A3:A28" si="1">A2+2.5</f>
        <v>6</v>
      </c>
    </row>
    <row r="4" spans="1:17" x14ac:dyDescent="0.2">
      <c r="A4">
        <f t="shared" si="1"/>
        <v>8.5</v>
      </c>
    </row>
    <row r="5" spans="1:17" x14ac:dyDescent="0.2">
      <c r="A5">
        <f t="shared" si="1"/>
        <v>11</v>
      </c>
    </row>
    <row r="6" spans="1:17" x14ac:dyDescent="0.2">
      <c r="A6">
        <f t="shared" si="1"/>
        <v>13.5</v>
      </c>
    </row>
    <row r="7" spans="1:17" x14ac:dyDescent="0.2">
      <c r="A7">
        <f t="shared" si="1"/>
        <v>16</v>
      </c>
    </row>
    <row r="8" spans="1:17" x14ac:dyDescent="0.2">
      <c r="A8">
        <f t="shared" si="1"/>
        <v>18.5</v>
      </c>
    </row>
    <row r="9" spans="1:17" x14ac:dyDescent="0.2">
      <c r="A9">
        <f t="shared" si="1"/>
        <v>21</v>
      </c>
    </row>
    <row r="10" spans="1:17" x14ac:dyDescent="0.2">
      <c r="A10">
        <f t="shared" si="1"/>
        <v>23.5</v>
      </c>
    </row>
    <row r="11" spans="1:17" x14ac:dyDescent="0.2">
      <c r="A11">
        <f t="shared" si="1"/>
        <v>26</v>
      </c>
    </row>
    <row r="12" spans="1:17" x14ac:dyDescent="0.2">
      <c r="A12">
        <f t="shared" si="1"/>
        <v>28.5</v>
      </c>
    </row>
    <row r="13" spans="1:17" x14ac:dyDescent="0.2">
      <c r="A13">
        <f t="shared" si="1"/>
        <v>31</v>
      </c>
    </row>
    <row r="14" spans="1:17" x14ac:dyDescent="0.2">
      <c r="A14">
        <f t="shared" si="1"/>
        <v>33.5</v>
      </c>
    </row>
    <row r="15" spans="1:17" x14ac:dyDescent="0.2">
      <c r="A15">
        <f t="shared" si="1"/>
        <v>36</v>
      </c>
    </row>
    <row r="16" spans="1:17" x14ac:dyDescent="0.2">
      <c r="A16">
        <f t="shared" si="1"/>
        <v>38.5</v>
      </c>
    </row>
    <row r="17" spans="1:1" x14ac:dyDescent="0.2">
      <c r="A17">
        <f t="shared" si="1"/>
        <v>41</v>
      </c>
    </row>
    <row r="18" spans="1:1" x14ac:dyDescent="0.2">
      <c r="A18">
        <f t="shared" si="1"/>
        <v>43.5</v>
      </c>
    </row>
    <row r="19" spans="1:1" x14ac:dyDescent="0.2">
      <c r="A19">
        <f t="shared" si="1"/>
        <v>46</v>
      </c>
    </row>
    <row r="20" spans="1:1" x14ac:dyDescent="0.2">
      <c r="A20">
        <f t="shared" si="1"/>
        <v>48.5</v>
      </c>
    </row>
    <row r="21" spans="1:1" x14ac:dyDescent="0.2">
      <c r="A21">
        <f t="shared" si="1"/>
        <v>51</v>
      </c>
    </row>
    <row r="22" spans="1:1" x14ac:dyDescent="0.2">
      <c r="A22">
        <f t="shared" si="1"/>
        <v>53.5</v>
      </c>
    </row>
    <row r="23" spans="1:1" x14ac:dyDescent="0.2">
      <c r="A23">
        <f t="shared" si="1"/>
        <v>56</v>
      </c>
    </row>
    <row r="24" spans="1:1" x14ac:dyDescent="0.2">
      <c r="A24">
        <f t="shared" si="1"/>
        <v>58.5</v>
      </c>
    </row>
    <row r="25" spans="1:1" x14ac:dyDescent="0.2">
      <c r="A25">
        <f t="shared" si="1"/>
        <v>61</v>
      </c>
    </row>
    <row r="26" spans="1:1" x14ac:dyDescent="0.2">
      <c r="A26">
        <f t="shared" si="1"/>
        <v>63.5</v>
      </c>
    </row>
    <row r="27" spans="1:1" x14ac:dyDescent="0.2">
      <c r="A27">
        <f t="shared" si="1"/>
        <v>66</v>
      </c>
    </row>
    <row r="28" spans="1:1" x14ac:dyDescent="0.2">
      <c r="A28">
        <f t="shared" si="1"/>
        <v>68.5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P12"/>
  <sheetViews>
    <sheetView workbookViewId="0">
      <selection activeCell="E30" sqref="E30"/>
    </sheetView>
  </sheetViews>
  <sheetFormatPr defaultRowHeight="14.25" x14ac:dyDescent="0.2"/>
  <sheetData>
    <row r="1" spans="1:16" x14ac:dyDescent="0.2">
      <c r="A1" t="s">
        <v>12</v>
      </c>
      <c r="B1" s="3" t="s">
        <v>14</v>
      </c>
      <c r="C1" s="3" t="s">
        <v>13</v>
      </c>
    </row>
    <row r="9" spans="1:16" x14ac:dyDescent="0.2">
      <c r="M9">
        <v>4</v>
      </c>
      <c r="O9">
        <v>8</v>
      </c>
    </row>
    <row r="11" spans="1:16" x14ac:dyDescent="0.2">
      <c r="J11">
        <v>8</v>
      </c>
      <c r="K11" t="str">
        <f>DEC2BIN(J11)</f>
        <v>1000</v>
      </c>
      <c r="M11">
        <f>INT(J11/$M$9)</f>
        <v>2</v>
      </c>
      <c r="N11" t="str">
        <f>DEC2BIN(M11)</f>
        <v>10</v>
      </c>
      <c r="O11">
        <f>MOD(J11,$O$9)</f>
        <v>0</v>
      </c>
      <c r="P11" t="str">
        <f>DEC2BIN(O11)</f>
        <v>0</v>
      </c>
    </row>
    <row r="12" spans="1:16" x14ac:dyDescent="0.2">
      <c r="J12">
        <v>14</v>
      </c>
      <c r="K12" t="str">
        <f>DEC2BIN(J12)</f>
        <v>1110</v>
      </c>
      <c r="M12">
        <f>INT(J12/$M$9)</f>
        <v>3</v>
      </c>
      <c r="N12" t="str">
        <f>DEC2BIN(M12)</f>
        <v>11</v>
      </c>
      <c r="O12">
        <f>MOD(J12,$O$9)</f>
        <v>6</v>
      </c>
      <c r="P12" t="str">
        <f>DEC2BIN(O12)</f>
        <v>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40"/>
  <sheetViews>
    <sheetView workbookViewId="0">
      <selection activeCell="K25" sqref="K25"/>
    </sheetView>
  </sheetViews>
  <sheetFormatPr defaultRowHeight="14.25" x14ac:dyDescent="0.2"/>
  <cols>
    <col min="1" max="1" width="9" style="8"/>
    <col min="2" max="2" width="21.875" style="8" customWidth="1"/>
    <col min="3" max="16384" width="9" style="8"/>
  </cols>
  <sheetData>
    <row r="1" spans="1:3" x14ac:dyDescent="0.2">
      <c r="A1" s="7" t="s">
        <v>18</v>
      </c>
      <c r="B1" s="7" t="s">
        <v>19</v>
      </c>
    </row>
    <row r="2" spans="1:3" x14ac:dyDescent="0.2">
      <c r="A2" s="8">
        <v>0</v>
      </c>
      <c r="B2" s="8" t="s">
        <v>20</v>
      </c>
    </row>
    <row r="3" spans="1:3" x14ac:dyDescent="0.2">
      <c r="A3" s="8">
        <v>1</v>
      </c>
      <c r="B3" s="7" t="s">
        <v>35</v>
      </c>
    </row>
    <row r="4" spans="1:3" x14ac:dyDescent="0.2">
      <c r="A4" s="8">
        <v>2</v>
      </c>
      <c r="B4" s="7" t="s">
        <v>36</v>
      </c>
    </row>
    <row r="5" spans="1:3" x14ac:dyDescent="0.2">
      <c r="A5" s="8">
        <v>3</v>
      </c>
      <c r="B5" s="7" t="s">
        <v>37</v>
      </c>
    </row>
    <row r="6" spans="1:3" x14ac:dyDescent="0.2">
      <c r="A6" s="8">
        <v>4</v>
      </c>
      <c r="B6" s="7" t="s">
        <v>38</v>
      </c>
    </row>
    <row r="7" spans="1:3" x14ac:dyDescent="0.2">
      <c r="A7" s="8">
        <v>5</v>
      </c>
      <c r="B7" s="7" t="s">
        <v>39</v>
      </c>
    </row>
    <row r="8" spans="1:3" x14ac:dyDescent="0.2">
      <c r="A8" s="8">
        <v>6</v>
      </c>
      <c r="B8" s="7" t="s">
        <v>40</v>
      </c>
    </row>
    <row r="9" spans="1:3" x14ac:dyDescent="0.2">
      <c r="A9" s="8">
        <v>7</v>
      </c>
      <c r="B9" s="7" t="s">
        <v>41</v>
      </c>
    </row>
    <row r="10" spans="1:3" x14ac:dyDescent="0.2">
      <c r="A10" s="8">
        <v>8</v>
      </c>
      <c r="B10" s="7" t="s">
        <v>42</v>
      </c>
    </row>
    <row r="11" spans="1:3" x14ac:dyDescent="0.2">
      <c r="A11" s="8">
        <v>8</v>
      </c>
      <c r="B11" s="7" t="s">
        <v>43</v>
      </c>
    </row>
    <row r="12" spans="1:3" x14ac:dyDescent="0.2">
      <c r="A12" s="8">
        <v>9</v>
      </c>
      <c r="B12" s="7" t="s">
        <v>44</v>
      </c>
    </row>
    <row r="13" spans="1:3" x14ac:dyDescent="0.2">
      <c r="A13" s="8">
        <v>10</v>
      </c>
      <c r="B13" s="7" t="s">
        <v>45</v>
      </c>
    </row>
    <row r="14" spans="1:3" x14ac:dyDescent="0.2">
      <c r="A14" s="8">
        <v>11</v>
      </c>
      <c r="B14" s="7" t="s">
        <v>46</v>
      </c>
    </row>
    <row r="15" spans="1:3" x14ac:dyDescent="0.2">
      <c r="A15" s="8">
        <v>12</v>
      </c>
      <c r="B15" s="7" t="s">
        <v>47</v>
      </c>
    </row>
    <row r="16" spans="1:3" x14ac:dyDescent="0.2">
      <c r="A16" s="8">
        <v>13</v>
      </c>
      <c r="B16" s="8">
        <v>1</v>
      </c>
      <c r="C16" s="7" t="s">
        <v>50</v>
      </c>
    </row>
    <row r="17" spans="1:3" x14ac:dyDescent="0.2">
      <c r="A17" s="8">
        <v>14</v>
      </c>
      <c r="B17" s="8">
        <v>2</v>
      </c>
      <c r="C17" s="7" t="s">
        <v>50</v>
      </c>
    </row>
    <row r="18" spans="1:3" x14ac:dyDescent="0.2">
      <c r="A18" s="8">
        <v>15</v>
      </c>
      <c r="B18" s="8">
        <v>3</v>
      </c>
      <c r="C18" s="7" t="s">
        <v>50</v>
      </c>
    </row>
    <row r="19" spans="1:3" x14ac:dyDescent="0.2">
      <c r="A19" s="8">
        <v>16</v>
      </c>
      <c r="B19" s="8">
        <v>4</v>
      </c>
      <c r="C19" s="7" t="s">
        <v>50</v>
      </c>
    </row>
    <row r="20" spans="1:3" x14ac:dyDescent="0.2">
      <c r="A20" s="8">
        <v>17</v>
      </c>
      <c r="B20" s="8">
        <v>5</v>
      </c>
      <c r="C20" s="7" t="s">
        <v>50</v>
      </c>
    </row>
    <row r="21" spans="1:3" x14ac:dyDescent="0.2">
      <c r="A21" s="8">
        <v>18</v>
      </c>
      <c r="B21" s="8">
        <v>6</v>
      </c>
      <c r="C21" s="7" t="s">
        <v>50</v>
      </c>
    </row>
    <row r="22" spans="1:3" x14ac:dyDescent="0.2">
      <c r="A22" s="8">
        <v>19</v>
      </c>
      <c r="B22" s="8">
        <v>7</v>
      </c>
      <c r="C22" s="7" t="s">
        <v>50</v>
      </c>
    </row>
    <row r="40" spans="1:7" ht="15" thickBot="1" x14ac:dyDescent="0.25">
      <c r="A40" s="9"/>
      <c r="B40" s="9"/>
      <c r="C40" s="9"/>
      <c r="D40" s="9"/>
      <c r="E40" s="9"/>
      <c r="G40" s="8" t="s">
        <v>21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54"/>
  <sheetViews>
    <sheetView workbookViewId="0">
      <selection activeCell="I30" sqref="I30"/>
    </sheetView>
  </sheetViews>
  <sheetFormatPr defaultRowHeight="14.25" x14ac:dyDescent="0.2"/>
  <sheetData>
    <row r="1" spans="1:2" x14ac:dyDescent="0.2">
      <c r="A1" s="3" t="s">
        <v>22</v>
      </c>
      <c r="B1" s="3" t="s">
        <v>19</v>
      </c>
    </row>
    <row r="2" spans="1:2" x14ac:dyDescent="0.2">
      <c r="A2">
        <v>0</v>
      </c>
      <c r="B2" s="3" t="s">
        <v>23</v>
      </c>
    </row>
    <row r="3" spans="1:2" x14ac:dyDescent="0.2">
      <c r="A3">
        <v>1</v>
      </c>
      <c r="B3" s="3" t="s">
        <v>48</v>
      </c>
    </row>
    <row r="4" spans="1:2" x14ac:dyDescent="0.2">
      <c r="A4">
        <v>2</v>
      </c>
      <c r="B4" s="3" t="s">
        <v>49</v>
      </c>
    </row>
    <row r="5" spans="1:2" x14ac:dyDescent="0.2">
      <c r="B5" s="3"/>
    </row>
    <row r="54" spans="1:7" ht="15" thickBot="1" x14ac:dyDescent="0.25">
      <c r="A54" s="4"/>
      <c r="B54" s="4"/>
      <c r="C54" s="4"/>
      <c r="D54" s="4"/>
      <c r="G54" t="s">
        <v>21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Sheet5</vt:lpstr>
      <vt:lpstr>Sheet4</vt:lpstr>
      <vt:lpstr>Sheet2</vt:lpstr>
      <vt:lpstr>怪物特质标签</vt:lpstr>
      <vt:lpstr>玩法特质标签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zc</cp:lastModifiedBy>
  <dcterms:created xsi:type="dcterms:W3CDTF">2008-09-11T17:22:52Z</dcterms:created>
  <dcterms:modified xsi:type="dcterms:W3CDTF">2022-01-25T08:08:41Z</dcterms:modified>
</cp:coreProperties>
</file>