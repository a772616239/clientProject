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690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externalReferences>
    <externalReference r:id="rId6"/>
    <externalReference r:id="rId7"/>
  </externalReferences>
  <definedNames>
    <definedName name="_xlnm._FilterDatabase" localSheetId="0" hidden="1">Sheet1!$L$5:$R$258</definedName>
    <definedName name="_xlnm._FilterDatabase" localSheetId="2" hidden="1">Sheet3!$C$1:$C$304</definedName>
  </definedNames>
  <calcPr calcId="144525"/>
</workbook>
</file>

<file path=xl/sharedStrings.xml><?xml version="1.0" encoding="utf-8"?>
<sst xmlns="http://schemas.openxmlformats.org/spreadsheetml/2006/main" count="3281" uniqueCount="480">
  <si>
    <t>Id</t>
  </si>
  <si>
    <t>名字</t>
  </si>
  <si>
    <t>对应宠物配置</t>
  </si>
  <si>
    <t>玩法标签(位操作）
最多支持63个标签</t>
  </si>
  <si>
    <t>特质标签(位操作）
最多支持63个标签</t>
  </si>
  <si>
    <t>属性</t>
  </si>
  <si>
    <t>技能</t>
  </si>
  <si>
    <t>Buff</t>
  </si>
  <si>
    <t>比例</t>
  </si>
  <si>
    <t>备注</t>
  </si>
  <si>
    <t>Name</t>
  </si>
  <si>
    <t>PetCfgId</t>
  </si>
  <si>
    <t>FuncTag</t>
  </si>
  <si>
    <t>FeatureTag</t>
  </si>
  <si>
    <t>Properties</t>
  </si>
  <si>
    <t>Skill</t>
  </si>
  <si>
    <t>Scale</t>
  </si>
  <si>
    <t>ck</t>
  </si>
  <si>
    <t>c</t>
  </si>
  <si>
    <t>int</t>
  </si>
  <si>
    <t>long</t>
  </si>
  <si>
    <t>intList2</t>
  </si>
  <si>
    <t>intList</t>
  </si>
  <si>
    <t>float</t>
  </si>
  <si>
    <t>种族</t>
  </si>
  <si>
    <t>稀有度</t>
  </si>
  <si>
    <t>职业(属性模板)</t>
  </si>
  <si>
    <t>标签1</t>
  </si>
  <si>
    <t>标签2</t>
  </si>
  <si>
    <t>标签3</t>
  </si>
  <si>
    <t>标签4</t>
  </si>
  <si>
    <t>{{1,145}|{2,29}|{3,909}|{4,600}|{5,15000}|{6,9000}|{7,0}|{8,10000}|{9,10000}|{10,3622}|{11,0}|{12,0}}</t>
  </si>
  <si>
    <t>小恶魔</t>
  </si>
  <si>
    <t>恶魔、绿宠、地狱、远程、群伤</t>
  </si>
  <si>
    <t>414</t>
  </si>
  <si>
    <t>{{1,101}|{2,43}|{3,1345}|{4,600}|{5,15000}|{6,9000}|{7,0}|{8,10000}|{9,10000}|{10,3622}|{11,0}|{12,0}}</t>
  </si>
  <si>
    <t>鱼人</t>
  </si>
  <si>
    <t>海族、绿宠、深渊、近战、爆发</t>
  </si>
  <si>
    <t>312</t>
  </si>
  <si>
    <t>{{1,181}|{2,36}|{3,909}|{4,600}|{5,15000}|{6,9000}|{7,0}|{8,10000}|{9,10000}|{10,3622}|{11,0}|{12,0}}</t>
  </si>
  <si>
    <t>吸血蝙蝠</t>
  </si>
  <si>
    <t>森林、绿宠、蛮荒、近战、群伤、软控</t>
  </si>
  <si>
    <t>211</t>
  </si>
  <si>
    <t>食尸鬼</t>
  </si>
  <si>
    <t>亡灵、绿宠、深渊、近战、群伤</t>
  </si>
  <si>
    <t>311</t>
  </si>
  <si>
    <t>地穴蜘蛛</t>
  </si>
  <si>
    <t>森林、绿宠、蛮荒、远程、减益</t>
  </si>
  <si>
    <t>214</t>
  </si>
  <si>
    <t>{{1,112}|{2,32}|{3,1090}|{4,600}|{5,15000}|{6,9000}|{7,0}|{8,10000}|{9,10000}|{10,3622}|{11,0}|{12,0}}</t>
  </si>
  <si>
    <t>冰精灵</t>
  </si>
  <si>
    <t>冰元素、绿宠、自然、远程、硬控</t>
  </si>
  <si>
    <t>113</t>
  </si>
  <si>
    <t>火精灵</t>
  </si>
  <si>
    <t>火元素、绿宠、自然、远程、增益</t>
  </si>
  <si>
    <t>114</t>
  </si>
  <si>
    <t>{{1,152}|{2,65}|{3,2018}|{4,600}|{5,15000}|{6,9000}|{7,0}|{8,10000}|{9,10000}|{10,3622}|{11,0}|{12,0}}</t>
  </si>
  <si>
    <t>沙漠蝎</t>
  </si>
  <si>
    <t>沙漠、蓝宠、蛮荒、近战、爆发</t>
  </si>
  <si>
    <t>222</t>
  </si>
  <si>
    <t>树精</t>
  </si>
  <si>
    <t>森林、蓝宠、自然、近战、治疗</t>
  </si>
  <si>
    <t>122</t>
  </si>
  <si>
    <t>{{1,313}|{2,38}|{3,1363}|{4,600}|{5,15000}|{6,9000}|{7,0}|{8,10000}|{9,10000}|{10,3622}|{11,0}|{12,0}}</t>
  </si>
  <si>
    <t>掘地虫</t>
  </si>
  <si>
    <t>森林、蓝宠、蛮荒、近战、爆发</t>
  </si>
  <si>
    <t>225</t>
  </si>
  <si>
    <t>{{1,272}|{2,54}|{3,1363}|{4,600}|{5,15000}|{6,9000}|{7,0}|{8,10000}|{9,10000}|{10,3622}|{11,0}|{12,0}}</t>
  </si>
  <si>
    <t>镰鼬</t>
  </si>
  <si>
    <t>森林、蓝宠、蛮荒、近战、群伤</t>
  </si>
  <si>
    <t>221</t>
  </si>
  <si>
    <t>{{1,218}|{2,43}|{3,1363}|{4,600}|{5,15000}|{6,9000}|{7,0}|{8,10000}|{9,10000}|{10,3622}|{11,0}|{12,0}}</t>
  </si>
  <si>
    <t>高鸟</t>
  </si>
  <si>
    <t>森林、蓝宠、自然、远程、吸血、沙漠</t>
  </si>
  <si>
    <t>124</t>
  </si>
  <si>
    <t>雏龙</t>
  </si>
  <si>
    <t>森林、蓝宠、自然、远程、爆发、沙漠</t>
  </si>
  <si>
    <t>狂暴骷髅</t>
  </si>
  <si>
    <t>亡灵、蓝宠、地狱、近战、吸血、肉盾</t>
  </si>
  <si>
    <t>411</t>
  </si>
  <si>
    <t>{{1,363}|{2,72}|{3,2272}|{4,600}|{5,15000}|{6,9000}|{7,0}|{8,10000}|{9,10000}|{10,3622}|{11,0}|{12,0}}</t>
  </si>
  <si>
    <t>迷你龙</t>
  </si>
  <si>
    <t>森林、紫宠、自然、远程、爆发</t>
  </si>
  <si>
    <t>134</t>
  </si>
  <si>
    <t>{{1,254}|{2,109}|{3,3363}|{4,600}|{5,15000}|{6,9000}|{7,0}|{8,10000}|{9,10000}|{10,3622}|{11,0}|{12,0}}</t>
  </si>
  <si>
    <t>山岭巨人</t>
  </si>
  <si>
    <t>森林、紫宠、自然、近战、肉盾</t>
  </si>
  <si>
    <t>132</t>
  </si>
  <si>
    <t>{{1,281}|{2,81}|{3,2727}|{4,600}|{5,15000}|{6,9000}|{7,0}|{8,10000}|{9,10000}|{10,3622}|{11,0}|{12,0}}</t>
  </si>
  <si>
    <t>沙罗曼蛇</t>
  </si>
  <si>
    <t>火元素、紫宠、蛮荒、远程、爆发、沙漠</t>
  </si>
  <si>
    <t>233</t>
  </si>
  <si>
    <t>石化蜥蜴</t>
  </si>
  <si>
    <t>森林、紫宠、蛮荒、近战、硬控、沙漠</t>
  </si>
  <si>
    <t>232</t>
  </si>
  <si>
    <t>{{1,169}|{2,49}|{3,1636}|{4,600}|{5,15000}|{6,9000}|{7,0}|{8,10000}|{9,10000}|{10,3622}|{11,0}|{12,0}}</t>
  </si>
  <si>
    <t>眼魔</t>
  </si>
  <si>
    <t>恶魔、蓝宠、地狱、远程、硬控、爆发</t>
  </si>
  <si>
    <t>423</t>
  </si>
  <si>
    <t>羊头恶魔</t>
  </si>
  <si>
    <t>恶魔、蓝宠、地狱、近战、爆发</t>
  </si>
  <si>
    <t>421</t>
  </si>
  <si>
    <t>科学怪人</t>
  </si>
  <si>
    <t>森林、恶魔、蓝宠、深渊、近战、爆发、肉盾</t>
  </si>
  <si>
    <t>322</t>
  </si>
  <si>
    <t>娜迦</t>
  </si>
  <si>
    <t>海族、蓝宠、深渊、近战、硬控</t>
  </si>
  <si>
    <t>321</t>
  </si>
  <si>
    <t>姑获鸟</t>
  </si>
  <si>
    <t>森林、紫宠、深渊、远程、爆发</t>
  </si>
  <si>
    <t>334</t>
  </si>
  <si>
    <t>{{1,454}|{2,90}|{3,2272}|{4,600}|{5,15000}|{6,9000}|{7,0}|{8,10000}|{9,10000}|{10,3622}|{11,0}|{12,0}}</t>
  </si>
  <si>
    <t>猫又</t>
  </si>
  <si>
    <t>森林、紫宠、蛮荒、近战、爆发</t>
  </si>
  <si>
    <t>231</t>
  </si>
  <si>
    <t>狼人</t>
  </si>
  <si>
    <t>森林、紫宠、蛮荒、近战、爆发、吸血</t>
  </si>
  <si>
    <t>石像鬼</t>
  </si>
  <si>
    <t>亡灵、蓝宠、地狱、近战、肉盾、软控</t>
  </si>
  <si>
    <t>422</t>
  </si>
  <si>
    <t>吸血鬼</t>
  </si>
  <si>
    <t>亡灵、蓝宠、深渊、近战、吸血</t>
  </si>
  <si>
    <t>剑齿虎</t>
  </si>
  <si>
    <t>森林、紫宠、自然、近战、爆发</t>
  </si>
  <si>
    <t>131</t>
  </si>
  <si>
    <t>皮克西</t>
  </si>
  <si>
    <t>森林、紫宠、自然、远程、治疗、驱散</t>
  </si>
  <si>
    <t>123</t>
  </si>
  <si>
    <t>大恶魔</t>
  </si>
  <si>
    <t>恶魔、紫宠、地狱、近战、群伤、硬控</t>
  </si>
  <si>
    <t>432</t>
  </si>
  <si>
    <t>魅魔</t>
  </si>
  <si>
    <t>恶魔、紫宠、地狱、近战、硬控、吸血</t>
  </si>
  <si>
    <t>431</t>
  </si>
  <si>
    <t>女妖</t>
  </si>
  <si>
    <t>亡灵、紫宠、深渊、近战、群伤、软控</t>
  </si>
  <si>
    <t>331</t>
  </si>
  <si>
    <t>般若</t>
  </si>
  <si>
    <t>亡灵、紫宠、地狱、远程、爆发</t>
  </si>
  <si>
    <t>434</t>
  </si>
  <si>
    <t>络新妇</t>
  </si>
  <si>
    <t>亡灵、森林、紫宠、地狱、近战、软控、吸血</t>
  </si>
  <si>
    <t>海妖</t>
  </si>
  <si>
    <t>海族、紫宠、深渊、近战、增益</t>
  </si>
  <si>
    <t>332</t>
  </si>
  <si>
    <t>炎魔女</t>
  </si>
  <si>
    <t>火元素、紫宠、自然、远程、爆发</t>
  </si>
  <si>
    <t>辉光</t>
  </si>
  <si>
    <t>光元素、紫宠、自然、远程、爆发</t>
  </si>
  <si>
    <t>133</t>
  </si>
  <si>
    <t>暗夜少女</t>
  </si>
  <si>
    <t>暗元素、紫宠、自然、近战、群伤</t>
  </si>
  <si>
    <t>121</t>
  </si>
  <si>
    <t>{{1,305}|{2,130}|{3,4036}|{4,600}|{5,15000}|{6,9000}|{7,0}|{8,10000}|{9,10000}|{10,3622}|{11,0}|{12,0}}</t>
  </si>
  <si>
    <t>金刚</t>
  </si>
  <si>
    <t>森林、蓝宠、蛮荒、近战、群伤、硬控、肉盾</t>
  </si>
  <si>
    <t>242</t>
  </si>
  <si>
    <t>独角兽</t>
  </si>
  <si>
    <t>森林、紫宠、自然、近战、治疗</t>
  </si>
  <si>
    <t>古树精</t>
  </si>
  <si>
    <t>森林、紫宠、自然、近战、肉盾、反伤</t>
  </si>
  <si>
    <t>佩利冬</t>
  </si>
  <si>
    <t>森林、紫宠、蛮荒、远程、群伤</t>
  </si>
  <si>
    <t>狮鹫</t>
  </si>
  <si>
    <t>234</t>
  </si>
  <si>
    <t>{{1,338}|{2,98}|{3,3272}|{4,600}|{5,15000}|{6,9000}|{7,0}|{8,10000}|{9,10000}|{10,3622}|{11,0}|{12,0}}</t>
  </si>
  <si>
    <t>薇儿</t>
  </si>
  <si>
    <t>恶魔、紫宠、地狱、远程、群伤</t>
  </si>
  <si>
    <t>443</t>
  </si>
  <si>
    <t>结晶龙</t>
  </si>
  <si>
    <t>森林、海+M50:M85族、紫宠、蛮荒、近战、反伤、肉盾</t>
  </si>
  <si>
    <t>海魔女</t>
  </si>
  <si>
    <t>海族、紫宠、深渊、远程、群伤</t>
  </si>
  <si>
    <t>刻耳柏洛斯</t>
  </si>
  <si>
    <t>恶魔、紫宠、深渊、近战、群伤</t>
  </si>
  <si>
    <t>{{1,436}|{2,87}|{3,2727}|{4,600}|{5,15000}|{6,9000}|{7,0}|{8,10000}|{9,10000}|{10,3622}|{11,0}|{12,0}}</t>
  </si>
  <si>
    <t>魔界花</t>
  </si>
  <si>
    <t>恶魔、紫宠、蛮荒、远程、群伤、软控、吸血</t>
  </si>
  <si>
    <t>244</t>
  </si>
  <si>
    <t>火焰邪魔</t>
  </si>
  <si>
    <t>恶魔、紫宠、地狱、近战、软控、爆发</t>
  </si>
  <si>
    <t>恶魔领主</t>
  </si>
  <si>
    <t>恶魔、紫宠、地狱、近战、致死、召唤</t>
  </si>
  <si>
    <t>塞壬</t>
  </si>
  <si>
    <t>海族、紫宠、深渊、远程、群伤、增益、硬控、吸血</t>
  </si>
  <si>
    <t>343</t>
  </si>
  <si>
    <t>美杜莎</t>
  </si>
  <si>
    <t>海族、紫宠、深渊、远程、群伤、硬控</t>
  </si>
  <si>
    <t>344</t>
  </si>
  <si>
    <t>利维坦</t>
  </si>
  <si>
    <t>海族、紫宠、深渊、近战、群伤、肉盾、硬控</t>
  </si>
  <si>
    <t>八岐大蛇</t>
  </si>
  <si>
    <t>海族、恶魔、紫宠、地狱、远程、群伤、硬控</t>
  </si>
  <si>
    <t>444</t>
  </si>
  <si>
    <t>大天狗</t>
  </si>
  <si>
    <t>森林、紫宠、深渊、近战、群伤、硬控</t>
  </si>
  <si>
    <t>迦楼罗</t>
  </si>
  <si>
    <t>森林、紫宠、蛮荒、近战、增益、软控、肉盾</t>
  </si>
  <si>
    <t>金乌</t>
  </si>
  <si>
    <t>森林、紫宠、蛮荒、远程、群伤、硬控</t>
  </si>
  <si>
    <t>巴哈姆特</t>
  </si>
  <si>
    <t>恶魔、紫宠、深渊、远程、群伤、肉盾</t>
  </si>
  <si>
    <t>烛龙</t>
  </si>
  <si>
    <t>144</t>
  </si>
  <si>
    <t>罗刹</t>
  </si>
  <si>
    <t>亡灵、紫宠、深渊、近战、群伤、软控、闪避</t>
  </si>
  <si>
    <t>{{1,522}|{2,63}|{3,2272}|{4,600}|{5,15000}|{6,9000}|{7,0}|{8,10000}|{9,10000}|{10,3622}|{11,0}|{12,0}}</t>
  </si>
  <si>
    <t>夜叉</t>
  </si>
  <si>
    <t>亡灵、紫宠、深渊、近战、爆发</t>
  </si>
  <si>
    <t>435</t>
  </si>
  <si>
    <t>巫妖</t>
  </si>
  <si>
    <t>亡灵、紫宠、深渊、远程、群伤、软控</t>
  </si>
  <si>
    <t>333</t>
  </si>
  <si>
    <t>瓦尔基里</t>
  </si>
  <si>
    <t>森林、紫宠、蛮荒、近战、硬控、增益</t>
  </si>
  <si>
    <t>阿努比斯</t>
  </si>
  <si>
    <t>亡灵、紫宠、地狱、远程、群伤、致死</t>
  </si>
  <si>
    <t>433</t>
  </si>
  <si>
    <t>{{1,545}|{2,109}|{3,2727}|{4,600}|{5,15000}|{6,9000}|{7,0}|{8,10000}|{9,10000}|{10,3622}|{11,0}|{12,0}}</t>
  </si>
  <si>
    <t>鲜血女王</t>
  </si>
  <si>
    <t>亡灵、恶魔、紫宠、地狱、近战、群伤、吸血</t>
  </si>
  <si>
    <t>441</t>
  </si>
  <si>
    <t>无头骑士</t>
  </si>
  <si>
    <t>亡灵、紫宠、深渊、近战、硬控、召唤</t>
  </si>
  <si>
    <t>341</t>
  </si>
  <si>
    <t>{{1,627}|{2,76}|{3,2727}|{4,600}|{5,15000}|{6,9000}|{7,0}|{8,10000}|{9,10000}|{10,3622}|{11,0}|{12,0}}</t>
  </si>
  <si>
    <t>灵魂收割者</t>
  </si>
  <si>
    <t>345</t>
  </si>
  <si>
    <t>木乃伊</t>
  </si>
  <si>
    <t>亡灵、紫宠、蛮荒、近战、群伤、肉盾</t>
  </si>
  <si>
    <t>442</t>
  </si>
  <si>
    <t>霜巨人</t>
  </si>
  <si>
    <t>冰元素、紫宠、自然、近战、硬控、肉盾</t>
  </si>
  <si>
    <t>142</t>
  </si>
  <si>
    <t>永生之炎</t>
  </si>
  <si>
    <t>火元素、紫宠、自然、远程、群伤、硬控</t>
  </si>
  <si>
    <t>绝对零度</t>
  </si>
  <si>
    <t>冰元素、紫宠、自然、远程、群伤、硬控</t>
  </si>
  <si>
    <t>143</t>
  </si>
  <si>
    <t>创世之光</t>
  </si>
  <si>
    <t>光元素、紫宠、自然、远程、治疗、驱散</t>
  </si>
  <si>
    <t>243</t>
  </si>
  <si>
    <t>暗影之主</t>
  </si>
  <si>
    <t>暗元素、紫宠、地狱、远程、群伤、吸血、软控</t>
  </si>
  <si>
    <t>九尾妖姬</t>
  </si>
  <si>
    <t>森林、紫宠、蛮荒、远程、爆发、硬控</t>
  </si>
  <si>
    <t>薇薇安</t>
  </si>
  <si>
    <t>森林、紫宠、蛮荒、近战、爆发、闪避</t>
  </si>
  <si>
    <t>145</t>
  </si>
  <si>
    <t>贝希摩斯</t>
  </si>
  <si>
    <t>恶魔、紫宠、地狱、近战、硬控、肉盾</t>
  </si>
  <si>
    <t>自然之主</t>
  </si>
  <si>
    <t>森林、紫宠、自然、远程、治疗</t>
  </si>
  <si>
    <t>大猿王</t>
  </si>
  <si>
    <t>森林、紫宠、蛮荒、近战、爆发、硬控</t>
  </si>
  <si>
    <t>241</t>
  </si>
  <si>
    <t>西王母</t>
  </si>
  <si>
    <t>刑天</t>
  </si>
  <si>
    <t>亡灵、紫宠、蛮荒、近战、爆发、硬控</t>
  </si>
  <si>
    <t>342</t>
  </si>
  <si>
    <t>{40282,40281,40283,40288,40285,40286,40287}</t>
  </si>
  <si>
    <t>{30006,30001,30003,30004,30005}</t>
  </si>
  <si>
    <t>{{1,101}|{2,43}|{3,1345000}|{4,600}|{5,15000}|{6,9000}|{7,0}|{8,10000}|{9,10000}|{10,3622}|{11,0}|{12,0}}</t>
  </si>
  <si>
    <t>亡灵、绿宠、地狱、近战、吸血、肉盾</t>
  </si>
  <si>
    <t>森林、紫宠、蛮荒、远程、爆发</t>
  </si>
  <si>
    <t>亡灵、紫宠、深渊、远程、爆发</t>
  </si>
  <si>
    <t>暗元素、紫宠、蛮荒、近战、群伤</t>
  </si>
  <si>
    <t>森林、紫宠、蛮荒、近战、群伤、硬控、肉盾</t>
  </si>
  <si>
    <t>森林、海族、紫宠、蛮荒、近战、反伤、肉盾</t>
  </si>
  <si>
    <t>恶魔、紫宠、地狱、近战、群伤</t>
  </si>
  <si>
    <t>恶魔、紫宠、地狱、远程、群伤、软控、吸血</t>
  </si>
  <si>
    <t>{{1,254}|{2,109}|{3,3363}|{4,600}|{5,15000}|{6,9000}|{7,0}|{8,0}|{9,10000}|{10,3622}|{11,0}|{12,0}}</t>
  </si>
  <si>
    <t>复活节BOSS</t>
  </si>
  <si>
    <t>{300001}</t>
  </si>
  <si>
    <t>树精-剧情</t>
  </si>
  <si>
    <t>攻击*1000</t>
  </si>
  <si>
    <t>防御*1000</t>
  </si>
  <si>
    <t>生命*1000</t>
  </si>
  <si>
    <t>暴击几率*1000</t>
  </si>
  <si>
    <t>暴击伤害比率*1000</t>
  </si>
  <si>
    <t>效果命中*1000</t>
  </si>
  <si>
    <t>效果回避*1000</t>
  </si>
  <si>
    <t>移速比率*1000</t>
  </si>
  <si>
    <t>攻速*1000</t>
  </si>
  <si>
    <t>预留字段</t>
  </si>
  <si>
    <t>attack</t>
  </si>
  <si>
    <t>{</t>
  </si>
  <si>
    <t>defensive</t>
  </si>
  <si>
    <t>health</t>
  </si>
  <si>
    <t>criticalRate</t>
  </si>
  <si>
    <t>criticalDamage</t>
  </si>
  <si>
    <t>accuracy</t>
  </si>
  <si>
    <t>miss</t>
  </si>
  <si>
    <t>speed</t>
  </si>
  <si>
    <t>attackSpeed</t>
  </si>
  <si>
    <t>sc</t>
  </si>
  <si>
    <t>}</t>
  </si>
  <si>
    <t>,</t>
  </si>
  <si>
    <t>|</t>
  </si>
  <si>
    <t>圣甲虫</t>
  </si>
  <si>
    <t>光精灵</t>
  </si>
  <si>
    <t>暗精灵</t>
  </si>
  <si>
    <t>小恐龙</t>
  </si>
  <si>
    <t>灰烬龙人</t>
  </si>
  <si>
    <t>沙龙</t>
  </si>
  <si>
    <t>牛头怪</t>
  </si>
  <si>
    <t>半人马</t>
  </si>
  <si>
    <t>狮蝎</t>
  </si>
  <si>
    <t>冰影</t>
  </si>
  <si>
    <t>帝王猛犸</t>
  </si>
  <si>
    <t>森林之女</t>
  </si>
  <si>
    <t>暮光领主</t>
  </si>
  <si>
    <t>地狱恶魔</t>
  </si>
  <si>
    <t>北海巨妖</t>
  </si>
  <si>
    <t>羽蛇</t>
  </si>
  <si>
    <t>斯芬克斯</t>
  </si>
  <si>
    <t>奇美拉</t>
  </si>
  <si>
    <t>骨龙</t>
  </si>
  <si>
    <t>吸血女王</t>
  </si>
  <si>
    <t>半神木乃伊</t>
  </si>
  <si>
    <t>火巨人</t>
  </si>
  <si>
    <t>沙漠、绿宠、自然、近战、肉盾</t>
  </si>
  <si>
    <t>光元素、绿宠、自然、远程、治疗</t>
  </si>
  <si>
    <t>暗元素、绿宠、自然、远程、闪避</t>
  </si>
  <si>
    <t>沙漠、绿宠、蛮荒、近战、爆发</t>
  </si>
  <si>
    <t>森林、绿宠、自然、近战、治疗</t>
  </si>
  <si>
    <t>森林、绿宠、蛮荒、近战、爆发</t>
  </si>
  <si>
    <t>森林、绿宠、蛮荒、近战、群伤</t>
  </si>
  <si>
    <t>森林、绿宠、自然、远程、吸血、沙漠</t>
  </si>
  <si>
    <t>森林、绿宠、自然、远程、爆发、沙漠</t>
  </si>
  <si>
    <t>森林、蓝宠、自然、远程、爆发</t>
  </si>
  <si>
    <t>森林、蓝宠、自然、近战、肉盾</t>
  </si>
  <si>
    <t>火元素、蓝宠、蛮荒、远程、爆发、沙漠</t>
  </si>
  <si>
    <t>森林、蓝宠、蛮荒、近战、硬控、沙漠</t>
  </si>
  <si>
    <t>森林、蓝宠、蛮荒、远程、爆发</t>
  </si>
  <si>
    <t>森林、蓝宠、蛮荒、近战、爆发、吸血</t>
  </si>
  <si>
    <t>森林、蓝宠、自然、远程、治疗、驱散</t>
  </si>
  <si>
    <t>恶魔、蓝宠、地狱、近战、群伤、硬控</t>
  </si>
  <si>
    <t>恶魔、蓝宠、地狱、近战、硬控、吸血</t>
  </si>
  <si>
    <t>亡灵、蓝宠、深渊、近战、群伤、软控</t>
  </si>
  <si>
    <t>亡灵、蓝宠、深渊、远程、爆发</t>
  </si>
  <si>
    <t>亡灵、森林、蓝宠、地狱、近战、软控、吸血</t>
  </si>
  <si>
    <t>海族、蓝宠、深渊、近战、增益</t>
  </si>
  <si>
    <t>火元素、蓝宠、自然、远程、爆发</t>
  </si>
  <si>
    <t>光元素、蓝宠、自然、远程、爆发</t>
  </si>
  <si>
    <t>暗元素、蓝宠、蛮荒、近战、群伤</t>
  </si>
  <si>
    <t>森林、蓝宠、自然、近战、肉盾、反伤</t>
  </si>
  <si>
    <t>森林、蓝宠、蛮荒、远程、群伤</t>
  </si>
  <si>
    <t>恶魔、蓝宠、地狱、远程、群伤</t>
  </si>
  <si>
    <t>森林、海族、蓝宠、蛮荒、近战、反伤、肉盾</t>
  </si>
  <si>
    <t>恶魔、蓝宠、地狱、近战、增益、吸血</t>
  </si>
  <si>
    <t>海族、蓝宠、深渊、远程、群伤</t>
  </si>
  <si>
    <t>201000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</si>
  <si>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</si>
  <si>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</si>
  <si>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</si>
  <si>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</si>
  <si>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</si>
  <si>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</si>
  <si>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</si>
  <si>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</si>
  <si>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</si>
  <si>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</si>
  <si>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</si>
  <si>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</si>
  <si>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201013</t>
  </si>
  <si>
    <t>201014</t>
  </si>
  <si>
    <t>201015</t>
  </si>
  <si>
    <t>201016</t>
  </si>
  <si>
    <t>201017</t>
  </si>
  <si>
    <t>202000</t>
  </si>
  <si>
    <t>202001</t>
  </si>
  <si>
    <t>202002</t>
  </si>
  <si>
    <t>202003</t>
  </si>
  <si>
    <t>202004</t>
  </si>
  <si>
    <t>202005</t>
  </si>
  <si>
    <t>202006</t>
  </si>
  <si>
    <t>202007</t>
  </si>
  <si>
    <t>202008</t>
  </si>
  <si>
    <t>202009</t>
  </si>
  <si>
    <t>202010</t>
  </si>
  <si>
    <t>202011</t>
  </si>
  <si>
    <t>202012</t>
  </si>
  <si>
    <t>202013</t>
  </si>
  <si>
    <t>202014</t>
  </si>
  <si>
    <t>202015</t>
  </si>
  <si>
    <t>202016</t>
  </si>
  <si>
    <t>202017</t>
  </si>
  <si>
    <t>202018</t>
  </si>
  <si>
    <t>202019</t>
  </si>
  <si>
    <t>203000</t>
  </si>
  <si>
    <t>203001</t>
  </si>
  <si>
    <t>203002</t>
  </si>
  <si>
    <t>203003</t>
  </si>
  <si>
    <t>203004</t>
  </si>
  <si>
    <t>203005</t>
  </si>
  <si>
    <t>203006</t>
  </si>
  <si>
    <t>203007</t>
  </si>
  <si>
    <t>203008</t>
  </si>
  <si>
    <t>203009</t>
  </si>
  <si>
    <t>203010</t>
  </si>
  <si>
    <t>203011</t>
  </si>
  <si>
    <t>203012</t>
  </si>
  <si>
    <t>203013</t>
  </si>
  <si>
    <t>203014</t>
  </si>
  <si>
    <t>203015</t>
  </si>
  <si>
    <t>203016</t>
  </si>
  <si>
    <t>203017</t>
  </si>
  <si>
    <t>203018</t>
  </si>
  <si>
    <t>203019</t>
  </si>
  <si>
    <t>203020</t>
  </si>
  <si>
    <t>203021</t>
  </si>
  <si>
    <t>204000</t>
  </si>
  <si>
    <t>204001</t>
  </si>
  <si>
    <t>204002</t>
  </si>
  <si>
    <t>204003</t>
  </si>
  <si>
    <t>204004</t>
  </si>
  <si>
    <t>204005</t>
  </si>
  <si>
    <t>204006</t>
  </si>
  <si>
    <t>204007</t>
  </si>
  <si>
    <t>204008</t>
  </si>
  <si>
    <t>204009</t>
  </si>
  <si>
    <t>204010</t>
  </si>
  <si>
    <t>204011</t>
  </si>
  <si>
    <t>204012</t>
  </si>
  <si>
    <t>204013</t>
  </si>
  <si>
    <t>204014</t>
  </si>
  <si>
    <t>204015</t>
  </si>
  <si>
    <t>204016</t>
  </si>
  <si>
    <t>204017</t>
  </si>
  <si>
    <t>204018</t>
  </si>
  <si>
    <t>204019</t>
  </si>
  <si>
    <t>204020</t>
  </si>
  <si>
    <t>204021</t>
  </si>
  <si>
    <t>204022</t>
  </si>
  <si>
    <t>204023</t>
  </si>
  <si>
    <t>204024</t>
  </si>
  <si>
    <t>204025</t>
  </si>
  <si>
    <t>204026</t>
  </si>
  <si>
    <t>204027</t>
  </si>
  <si>
    <t>204028</t>
  </si>
  <si>
    <t>204029</t>
  </si>
  <si>
    <t>204030</t>
  </si>
  <si>
    <t>204031</t>
  </si>
  <si>
    <t>204032</t>
  </si>
  <si>
    <t>204033</t>
  </si>
  <si>
    <t>204034</t>
  </si>
  <si>
    <t>204035</t>
  </si>
  <si>
    <t>204036</t>
  </si>
  <si>
    <t>204037</t>
  </si>
  <si>
    <t>204038</t>
  </si>
  <si>
    <t>204039</t>
  </si>
  <si>
    <t>204040</t>
  </si>
  <si>
    <t>属性模板</t>
  </si>
  <si>
    <t>{8,10000}</t>
  </si>
  <si>
    <t>{9,10000}</t>
  </si>
  <si>
    <t>{1,115}</t>
  </si>
  <si>
    <t>{2,15}</t>
  </si>
  <si>
    <t>{3,449}</t>
  </si>
  <si>
    <t>{1,113}</t>
  </si>
  <si>
    <t>{2,17}</t>
  </si>
  <si>
    <t>{3,451}</t>
  </si>
  <si>
    <t>{1,114}</t>
  </si>
  <si>
    <t>{2,16}</t>
  </si>
  <si>
    <t>{3,450}</t>
  </si>
  <si>
    <t>{1,116}</t>
  </si>
  <si>
    <t>{2,14}</t>
  </si>
  <si>
    <t>{3,448}</t>
  </si>
  <si>
    <t>{6,10000}</t>
  </si>
  <si>
    <t>{11,10000}</t>
  </si>
  <si>
    <t>{12,10000}}</t>
  </si>
  <si>
    <t>{{1,116}|{2,14}|{3,448}|{8,10000}|{9,10000}}</t>
  </si>
  <si>
    <t>{{1,113}|{2,17}|{3,451}|{8,10000}|{9,10000}}</t>
  </si>
  <si>
    <t>{{1,115}|{2,15}|{3,449}|{8,10000}|{9,10000}}</t>
  </si>
  <si>
    <t>{{1,114}|{2,16}|{3,450}|{8,10000}|{9,10000}}</t>
  </si>
  <si>
    <t>{{1,55}|{2,15}|{3,449}|{8,10000}|{9,10000}}</t>
  </si>
  <si>
    <t>{{1,93}|{2,17}|{3,451}|{8,10000}|{9,10000}}</t>
  </si>
  <si>
    <t>{{1,93}|{2,14}|{3,448}|{8,10000}|{9,10000}}</t>
  </si>
  <si>
    <t>{{1,115}|{2,15}|{3,349}|{8,10000}|{9,10000}}</t>
  </si>
  <si>
    <t>{{1,100}|{2,20}|{3,500}|{6,10000}|{8,10000}|{9,10000}|{11,10000}|{12,10000}}</t>
  </si>
</sst>
</file>

<file path=xl/styles.xml><?xml version="1.0" encoding="utf-8"?>
<styleSheet xmlns="http://schemas.openxmlformats.org/spreadsheetml/2006/main">
  <numFmts count="4"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</numFmts>
  <fonts count="26">
    <font>
      <sz val="11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rgb="FF9C5700"/>
      <name val="等线"/>
      <charset val="134"/>
      <scheme val="minor"/>
    </font>
    <font>
      <sz val="11"/>
      <color rgb="FF006100"/>
      <name val="等线"/>
      <charset val="134"/>
      <scheme val="minor"/>
    </font>
    <font>
      <sz val="11"/>
      <color rgb="FF111F2C"/>
      <name val="Segoe UI"/>
      <charset val="134"/>
    </font>
    <font>
      <sz val="11"/>
      <color rgb="FFFF0000"/>
      <name val="Segoe UI"/>
      <charset val="134"/>
    </font>
    <font>
      <b/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theme="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theme="1"/>
      <name val="Adobe 黑体 Std R"/>
      <charset val="134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rgb="FF3F3F3F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54">
    <xf numFmtId="0" fontId="0" fillId="0" borderId="0"/>
    <xf numFmtId="42" fontId="14" fillId="0" borderId="0" applyFont="0" applyFill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44" fontId="14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43" fontId="14" fillId="0" borderId="0" applyFont="0" applyFill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4" fillId="18" borderId="7" applyNumberFormat="0" applyFont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0" borderId="3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22" fillId="0" borderId="9" applyNumberFormat="0" applyFill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25" fillId="13" borderId="8" applyNumberFormat="0" applyAlignment="0" applyProtection="0">
      <alignment vertical="center"/>
    </xf>
    <xf numFmtId="0" fontId="17" fillId="13" borderId="4" applyNumberFormat="0" applyAlignment="0" applyProtection="0">
      <alignment vertical="center"/>
    </xf>
    <xf numFmtId="0" fontId="19" fillId="15" borderId="5" applyNumberFormat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" fillId="0" borderId="0"/>
    <xf numFmtId="0" fontId="1" fillId="0" borderId="0">
      <alignment vertical="center"/>
    </xf>
  </cellStyleXfs>
  <cellXfs count="52">
    <xf numFmtId="0" fontId="0" fillId="0" borderId="0" xfId="0"/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0" fontId="1" fillId="0" borderId="0" xfId="52" applyAlignment="1">
      <alignment horizontal="left" vertical="center" wrapText="1"/>
    </xf>
    <xf numFmtId="0" fontId="2" fillId="0" borderId="0" xfId="0" applyFont="1"/>
    <xf numFmtId="0" fontId="2" fillId="0" borderId="0" xfId="52" applyFont="1" applyAlignment="1">
      <alignment horizontal="left" vertical="center" wrapText="1"/>
    </xf>
    <xf numFmtId="49" fontId="2" fillId="0" borderId="0" xfId="0" applyNumberFormat="1" applyFont="1" applyAlignment="1">
      <alignment horizontal="center"/>
    </xf>
    <xf numFmtId="0" fontId="3" fillId="2" borderId="0" xfId="34" applyAlignment="1"/>
    <xf numFmtId="0" fontId="3" fillId="2" borderId="0" xfId="34" applyAlignment="1">
      <alignment horizontal="left" vertical="center" wrapText="1"/>
    </xf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1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0" fontId="1" fillId="0" borderId="0" xfId="52" applyBorder="1" applyAlignment="1">
      <alignment horizontal="left" vertical="center" wrapText="1"/>
    </xf>
    <xf numFmtId="0" fontId="2" fillId="0" borderId="0" xfId="52" applyFont="1" applyBorder="1" applyAlignment="1">
      <alignment horizontal="left" vertical="center" wrapText="1"/>
    </xf>
    <xf numFmtId="0" fontId="4" fillId="3" borderId="0" xfId="28" applyAlignment="1"/>
    <xf numFmtId="0" fontId="0" fillId="0" borderId="0" xfId="0" applyAlignment="1">
      <alignment vertical="center"/>
    </xf>
    <xf numFmtId="0" fontId="3" fillId="2" borderId="0" xfId="34">
      <alignment vertical="center"/>
    </xf>
    <xf numFmtId="49" fontId="0" fillId="0" borderId="0" xfId="0" applyNumberFormat="1" applyFill="1" applyAlignment="1">
      <alignment horizontal="center"/>
    </xf>
    <xf numFmtId="0" fontId="0" fillId="0" borderId="0" xfId="0" applyFill="1"/>
    <xf numFmtId="49" fontId="0" fillId="0" borderId="0" xfId="0" applyNumberFormat="1" applyFill="1" applyAlignment="1">
      <alignment horizontal="left"/>
    </xf>
    <xf numFmtId="49" fontId="0" fillId="0" borderId="0" xfId="0" applyNumberFormat="1" applyFill="1" applyAlignment="1">
      <alignment horizontal="right"/>
    </xf>
    <xf numFmtId="0" fontId="0" fillId="0" borderId="0" xfId="0" applyFill="1" applyAlignment="1">
      <alignment horizontal="right"/>
    </xf>
    <xf numFmtId="0" fontId="0" fillId="0" borderId="0" xfId="0" applyFill="1" applyAlignment="1">
      <alignment horizontal="center"/>
    </xf>
    <xf numFmtId="49" fontId="0" fillId="0" borderId="0" xfId="0" applyNumberFormat="1" applyFill="1" applyAlignment="1">
      <alignment horizontal="center" wrapText="1"/>
    </xf>
    <xf numFmtId="49" fontId="1" fillId="0" borderId="0" xfId="0" applyNumberFormat="1" applyFont="1" applyFill="1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right" vertical="center"/>
    </xf>
    <xf numFmtId="49" fontId="0" fillId="0" borderId="0" xfId="0" applyNumberFormat="1" applyFill="1" applyAlignment="1">
      <alignment horizontal="right" vertical="center"/>
    </xf>
    <xf numFmtId="0" fontId="3" fillId="0" borderId="0" xfId="34" applyFill="1" applyAlignment="1">
      <alignment horizontal="left"/>
    </xf>
    <xf numFmtId="0" fontId="3" fillId="0" borderId="0" xfId="34" applyFill="1" applyAlignment="1"/>
    <xf numFmtId="49" fontId="0" fillId="0" borderId="0" xfId="0" applyNumberFormat="1" applyFill="1" applyAlignment="1">
      <alignment horizontal="right" wrapText="1"/>
    </xf>
    <xf numFmtId="0" fontId="0" fillId="0" borderId="0" xfId="0" applyFill="1" applyAlignment="1">
      <alignment horizontal="right" wrapText="1"/>
    </xf>
    <xf numFmtId="49" fontId="0" fillId="0" borderId="0" xfId="0" applyNumberFormat="1" applyFill="1" applyAlignment="1">
      <alignment horizontal="center" vertical="center"/>
    </xf>
    <xf numFmtId="0" fontId="1" fillId="0" borderId="0" xfId="52" applyFill="1" applyAlignment="1">
      <alignment horizontal="left" vertical="center" wrapText="1"/>
    </xf>
    <xf numFmtId="0" fontId="3" fillId="0" borderId="0" xfId="34" applyFill="1" applyAlignment="1">
      <alignment horizontal="left" vertical="center" wrapText="1"/>
    </xf>
    <xf numFmtId="0" fontId="0" fillId="0" borderId="0" xfId="0" applyFont="1" applyFill="1" applyAlignment="1">
      <alignment horizontal="left"/>
    </xf>
    <xf numFmtId="0" fontId="1" fillId="4" borderId="1" xfId="52" applyFont="1" applyFill="1" applyBorder="1"/>
    <xf numFmtId="49" fontId="1" fillId="0" borderId="0" xfId="0" applyNumberFormat="1" applyFont="1" applyFill="1" applyAlignment="1">
      <alignment horizontal="left"/>
    </xf>
    <xf numFmtId="0" fontId="1" fillId="0" borderId="0" xfId="52" applyFill="1" applyBorder="1" applyAlignment="1">
      <alignment horizontal="left" vertical="center" wrapText="1"/>
    </xf>
    <xf numFmtId="0" fontId="0" fillId="0" borderId="0" xfId="52" applyFont="1" applyFill="1" applyAlignment="1">
      <alignment horizontal="left" vertical="center" wrapText="1"/>
    </xf>
    <xf numFmtId="0" fontId="1" fillId="0" borderId="0" xfId="52" applyNumberFormat="1" applyFill="1" applyBorder="1" applyAlignment="1">
      <alignment horizontal="left" vertical="center" wrapText="1"/>
    </xf>
    <xf numFmtId="0" fontId="5" fillId="0" borderId="0" xfId="13" applyFont="1" applyFill="1" applyAlignment="1">
      <alignment horizontal="left" vertical="center"/>
    </xf>
    <xf numFmtId="0" fontId="2" fillId="0" borderId="0" xfId="52" applyNumberFormat="1" applyFont="1" applyFill="1" applyBorder="1" applyAlignment="1">
      <alignment horizontal="left" vertical="center" wrapText="1"/>
    </xf>
    <xf numFmtId="0" fontId="6" fillId="0" borderId="0" xfId="13" applyFont="1" applyFill="1" applyAlignment="1">
      <alignment horizontal="left" vertical="center"/>
    </xf>
    <xf numFmtId="0" fontId="2" fillId="0" borderId="0" xfId="0" applyFont="1" applyFill="1"/>
    <xf numFmtId="49" fontId="2" fillId="0" borderId="0" xfId="0" applyNumberFormat="1" applyFont="1" applyFill="1" applyAlignment="1">
      <alignment horizontal="left"/>
    </xf>
    <xf numFmtId="49" fontId="2" fillId="0" borderId="0" xfId="0" applyNumberFormat="1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0" fillId="0" borderId="0" xfId="0" applyNumberFormat="1" applyFill="1" applyAlignment="1">
      <alignment horizontal="left"/>
    </xf>
    <xf numFmtId="0" fontId="2" fillId="0" borderId="0" xfId="52" applyFont="1" applyFill="1" applyAlignment="1">
      <alignment horizontal="left" vertical="center" wrapText="1"/>
    </xf>
  </cellXfs>
  <cellStyles count="54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常规 6" xfId="13"/>
    <cellStyle name="注释" xfId="14" builtinId="10"/>
    <cellStyle name="60% - 强调文字颜色 2" xfId="15" builtinId="36"/>
    <cellStyle name="标题 4" xfId="16" builtinId="19"/>
    <cellStyle name="警告文本" xfId="17" builtinId="11"/>
    <cellStyle name="标题" xfId="18" builtinId="15"/>
    <cellStyle name="解释性文本" xfId="19" builtinId="53"/>
    <cellStyle name="标题 1" xfId="20" builtinId="16"/>
    <cellStyle name="标题 2" xfId="21" builtinId="17"/>
    <cellStyle name="60% - 强调文字颜色 1" xfId="22" builtinId="32"/>
    <cellStyle name="标题 3" xfId="23" builtinId="18"/>
    <cellStyle name="60% - 强调文字颜色 4" xfId="24" builtinId="44"/>
    <cellStyle name="输出" xfId="25" builtinId="21"/>
    <cellStyle name="计算" xfId="26" builtinId="22"/>
    <cellStyle name="检查单元格" xfId="27" builtinId="23"/>
    <cellStyle name="好 2" xfId="28"/>
    <cellStyle name="20% - 强调文字颜色 6" xfId="29" builtinId="50"/>
    <cellStyle name="强调文字颜色 2" xfId="30" builtinId="33"/>
    <cellStyle name="链接单元格" xfId="31" builtinId="24"/>
    <cellStyle name="汇总" xfId="32" builtinId="25"/>
    <cellStyle name="好" xfId="33" builtinId="26"/>
    <cellStyle name="适中" xfId="34" builtinId="28"/>
    <cellStyle name="20% - 强调文字颜色 5" xfId="35" builtinId="46"/>
    <cellStyle name="强调文字颜色 1" xfId="36" builtinId="29"/>
    <cellStyle name="20% - 强调文字颜色 1" xfId="37" builtinId="30"/>
    <cellStyle name="40% - 强调文字颜色 1" xfId="38" builtinId="31"/>
    <cellStyle name="20% - 强调文字颜色 2" xfId="39" builtinId="34"/>
    <cellStyle name="40% - 强调文字颜色 2" xfId="40" builtinId="35"/>
    <cellStyle name="强调文字颜色 3" xfId="41" builtinId="37"/>
    <cellStyle name="强调文字颜色 4" xfId="42" builtinId="41"/>
    <cellStyle name="20% - 强调文字颜色 4" xfId="43" builtinId="42"/>
    <cellStyle name="40% - 强调文字颜色 4" xfId="44" builtinId="43"/>
    <cellStyle name="强调文字颜色 5" xfId="45" builtinId="45"/>
    <cellStyle name="40% - 强调文字颜色 5" xfId="46" builtinId="47"/>
    <cellStyle name="60% - 强调文字颜色 5" xfId="47" builtinId="48"/>
    <cellStyle name="强调文字颜色 6" xfId="48" builtinId="49"/>
    <cellStyle name="适中 2" xfId="49"/>
    <cellStyle name="40% - 强调文字颜色 6" xfId="50" builtinId="51"/>
    <cellStyle name="60% - 强调文字颜色 6" xfId="51" builtinId="52"/>
    <cellStyle name="常规 2" xfId="52"/>
    <cellStyle name="常规 3" xfId="53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2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etBasePropertie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OneDrive%20-%20students.solano.edu\&#34920;&#26684;&#32500;&#25252;&#24037;&#20855;\&#23548;&#20986;&#24037;&#20855;\Export3.xla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7"/>
      <sheetName val="Sheet2"/>
      <sheetName val="Sheet3"/>
    </sheetNames>
    <sheetDataSet>
      <sheetData sheetId="0">
        <row r="1">
          <cell r="A1" t="str">
            <v>ID</v>
          </cell>
          <cell r="B1" t="str">
            <v>名字</v>
          </cell>
          <cell r="C1" t="str">
            <v>宠物核心</v>
          </cell>
          <cell r="D1" t="str">
            <v>中文名</v>
          </cell>
          <cell r="E1" t="str">
            <v>显示资源</v>
          </cell>
          <cell r="F1" t="str">
            <v>图鉴显示</v>
          </cell>
          <cell r="G1" t="str">
            <v>初始品质</v>
          </cell>
          <cell r="H1" t="str">
            <v>最大品质</v>
          </cell>
          <cell r="I1" t="str">
            <v>类型</v>
          </cell>
          <cell r="J1" t="str">
            <v>职业</v>
          </cell>
          <cell r="K1" t="str">
            <v>种族</v>
          </cell>
          <cell r="L1" t="str">
            <v>标签</v>
          </cell>
          <cell r="M1" t="str">
            <v>进化动作展示</v>
          </cell>
          <cell r="N1" t="str">
            <v>觉醒最高等级</v>
          </cell>
          <cell r="O1" t="str">
            <v>宠物属性*10000</v>
          </cell>
          <cell r="P1" t="str">
            <v>射程修正系数*1000</v>
          </cell>
          <cell r="Q1" t="str">
            <v>射程</v>
          </cell>
          <cell r="R1" t="str">
            <v>目标</v>
          </cell>
          <cell r="S1" t="str">
            <v>技能{技能1,技能2,技能3,技能4}</v>
          </cell>
          <cell r="T1" t="str">
            <v>碎片编号</v>
          </cell>
          <cell r="U1" t="str">
            <v>出生配置Id</v>
          </cell>
          <cell r="V1" t="str">
            <v>死亡配置Id</v>
          </cell>
          <cell r="W1" t="str">
            <v>解锁头像</v>
          </cell>
          <cell r="X1" t="str">
            <v>宠物描述</v>
          </cell>
          <cell r="Y1" t="str">
            <v>已完成宠物</v>
          </cell>
          <cell r="Z1" t="str">
            <v>随机阵容可用宠物</v>
          </cell>
          <cell r="AA1" t="str">
            <v>三选一展示</v>
          </cell>
          <cell r="AB1" t="str">
            <v>UI点击音效</v>
          </cell>
          <cell r="AC1" t="str">
            <v>出场音效</v>
          </cell>
          <cell r="AD1" t="str">
            <v>胜利动作1特效</v>
          </cell>
          <cell r="AE1" t="str">
            <v>胜利动作2特效</v>
          </cell>
          <cell r="AF1" t="str">
            <v>UI中播放的技能</v>
          </cell>
          <cell r="AG1" t="str">
            <v>简短定位描述</v>
          </cell>
          <cell r="AH1" t="str">
            <v>基础介绍</v>
          </cell>
        </row>
        <row r="2">
          <cell r="A2" t="str">
            <v>预留字段</v>
          </cell>
          <cell r="B2" t="str">
            <v>预留字段</v>
          </cell>
        </row>
        <row r="2">
          <cell r="D2" t="str">
            <v>预留字段</v>
          </cell>
          <cell r="E2" t="str">
            <v>预留字段</v>
          </cell>
          <cell r="F2" t="str">
            <v>预留字段</v>
          </cell>
          <cell r="G2" t="str">
            <v>预留字段</v>
          </cell>
          <cell r="H2" t="str">
            <v>预留字段</v>
          </cell>
          <cell r="I2" t="str">
            <v>预留字段</v>
          </cell>
          <cell r="J2" t="str">
            <v>预留字段</v>
          </cell>
          <cell r="K2" t="str">
            <v>预留字段</v>
          </cell>
          <cell r="L2" t="str">
            <v>预留字段</v>
          </cell>
          <cell r="M2" t="str">
            <v>预留字段</v>
          </cell>
          <cell r="N2" t="str">
            <v>预留字段</v>
          </cell>
          <cell r="O2" t="str">
            <v>预留字段</v>
          </cell>
          <cell r="P2" t="str">
            <v>预留字段</v>
          </cell>
        </row>
        <row r="2">
          <cell r="S2" t="str">
            <v>预留字段</v>
          </cell>
          <cell r="T2" t="str">
            <v>预留字段</v>
          </cell>
        </row>
        <row r="2">
          <cell r="W2" t="str">
            <v>预留字段</v>
          </cell>
          <cell r="X2" t="str">
            <v>预留字段</v>
          </cell>
          <cell r="Y2" t="str">
            <v>预留字段</v>
          </cell>
          <cell r="Z2" t="str">
            <v>试炼用宠物</v>
          </cell>
        </row>
        <row r="3">
          <cell r="A3" t="str">
            <v>petId</v>
          </cell>
          <cell r="B3" t="str">
            <v>mingzi</v>
          </cell>
          <cell r="C3" t="str">
            <v>petCore</v>
          </cell>
          <cell r="D3" t="str">
            <v>petName</v>
          </cell>
          <cell r="E3" t="str">
            <v>petRes</v>
          </cell>
          <cell r="F3" t="str">
            <v>showMap</v>
          </cell>
          <cell r="G3" t="str">
            <v>startRarity</v>
          </cell>
          <cell r="H3" t="str">
            <v>maxRarity</v>
          </cell>
          <cell r="I3" t="str">
            <v>attackType</v>
          </cell>
          <cell r="J3" t="str">
            <v>petClass</v>
          </cell>
          <cell r="K3" t="str">
            <v>petType</v>
          </cell>
          <cell r="L3" t="str">
            <v>petTag</v>
          </cell>
          <cell r="M3" t="str">
            <v>petawakeaction</v>
          </cell>
          <cell r="N3" t="str">
            <v>maxUpLvl</v>
          </cell>
          <cell r="O3" t="str">
            <v>petProperties</v>
          </cell>
          <cell r="P3" t="str">
            <v>petExtraProperties</v>
          </cell>
          <cell r="Q3" t="str">
            <v>shootRange</v>
          </cell>
          <cell r="R3" t="str">
            <v>shootTarget</v>
          </cell>
          <cell r="S3" t="str">
            <v>skill</v>
          </cell>
          <cell r="T3" t="str">
            <v>petDebrisId</v>
          </cell>
          <cell r="U3" t="str">
            <v>bornId</v>
          </cell>
          <cell r="V3" t="str">
            <v>deathId</v>
          </cell>
          <cell r="W3" t="str">
            <v>UnlockHead</v>
          </cell>
          <cell r="X3" t="str">
            <v>story</v>
          </cell>
          <cell r="Y3" t="str">
            <v>petfinished</v>
          </cell>
          <cell r="Z3" t="str">
            <v>braveRandom</v>
          </cell>
          <cell r="AA3" t="str">
            <v>ThreeToOneRes</v>
          </cell>
          <cell r="AB3" t="str">
            <v>UIAudioId</v>
          </cell>
          <cell r="AC3" t="str">
            <v>BornAudioId</v>
          </cell>
          <cell r="AD3" t="str">
            <v>WinEffects1</v>
          </cell>
          <cell r="AE3" t="str">
            <v>WinEffects2</v>
          </cell>
          <cell r="AF3" t="str">
            <v>UISkills</v>
          </cell>
          <cell r="AG3" t="str">
            <v>SortDes</v>
          </cell>
          <cell r="AH3" t="str">
            <v>basedesc</v>
          </cell>
        </row>
        <row r="4">
          <cell r="A4" t="str">
            <v>skc</v>
          </cell>
          <cell r="B4" t="str">
            <v>s</v>
          </cell>
          <cell r="C4" t="str">
            <v>sc</v>
          </cell>
          <cell r="D4" t="str">
            <v>sc</v>
          </cell>
          <cell r="E4" t="str">
            <v>c</v>
          </cell>
          <cell r="F4" t="str">
            <v>cs</v>
          </cell>
          <cell r="G4" t="str">
            <v>sc</v>
          </cell>
          <cell r="H4" t="str">
            <v>sc</v>
          </cell>
          <cell r="I4" t="str">
            <v>c</v>
          </cell>
          <cell r="J4" t="str">
            <v>cs</v>
          </cell>
          <cell r="K4" t="str">
            <v>sc</v>
          </cell>
          <cell r="L4" t="str">
            <v>sc</v>
          </cell>
          <cell r="M4" t="str">
            <v>c</v>
          </cell>
          <cell r="N4" t="str">
            <v>sc</v>
          </cell>
          <cell r="O4" t="str">
            <v>sc</v>
          </cell>
          <cell r="P4" t="str">
            <v>sc</v>
          </cell>
          <cell r="Q4" t="str">
            <v>c</v>
          </cell>
          <cell r="R4" t="str">
            <v>c</v>
          </cell>
          <cell r="S4" t="str">
            <v>c</v>
          </cell>
          <cell r="T4" t="str">
            <v>csk</v>
          </cell>
          <cell r="U4" t="str">
            <v>c</v>
          </cell>
          <cell r="V4" t="str">
            <v>c</v>
          </cell>
          <cell r="W4" t="str">
            <v>s</v>
          </cell>
          <cell r="X4" t="str">
            <v>c</v>
          </cell>
          <cell r="Y4" t="str">
            <v>sc</v>
          </cell>
          <cell r="Z4" t="str">
            <v>s</v>
          </cell>
          <cell r="AA4" t="str">
            <v>c</v>
          </cell>
          <cell r="AB4" t="str">
            <v>c</v>
          </cell>
          <cell r="AC4" t="str">
            <v>c</v>
          </cell>
          <cell r="AD4" t="str">
            <v>c</v>
          </cell>
          <cell r="AE4" t="str">
            <v>c</v>
          </cell>
          <cell r="AF4" t="str">
            <v>c</v>
          </cell>
          <cell r="AG4" t="str">
            <v>c</v>
          </cell>
          <cell r="AH4" t="str">
            <v>c</v>
          </cell>
        </row>
        <row r="5">
          <cell r="A5" t="str">
            <v>int</v>
          </cell>
          <cell r="B5" t="str">
            <v>string</v>
          </cell>
          <cell r="C5" t="str">
            <v>int</v>
          </cell>
          <cell r="D5" t="str">
            <v>int</v>
          </cell>
          <cell r="E5" t="str">
            <v>string</v>
          </cell>
          <cell r="F5" t="str">
            <v>int</v>
          </cell>
          <cell r="G5" t="str">
            <v>int</v>
          </cell>
          <cell r="H5" t="str">
            <v>int</v>
          </cell>
          <cell r="I5" t="str">
            <v>int</v>
          </cell>
          <cell r="J5" t="str">
            <v>int</v>
          </cell>
          <cell r="K5" t="str">
            <v>int</v>
          </cell>
          <cell r="L5" t="str">
            <v>intList</v>
          </cell>
          <cell r="M5" t="str">
            <v>string</v>
          </cell>
          <cell r="N5" t="str">
            <v>int</v>
          </cell>
          <cell r="O5" t="str">
            <v>intList2</v>
          </cell>
          <cell r="P5" t="str">
            <v>int</v>
          </cell>
          <cell r="Q5" t="str">
            <v>int</v>
          </cell>
          <cell r="R5" t="str">
            <v>int</v>
          </cell>
          <cell r="S5" t="str">
            <v>intList</v>
          </cell>
          <cell r="T5" t="str">
            <v>int</v>
          </cell>
          <cell r="U5" t="str">
            <v>int</v>
          </cell>
          <cell r="V5" t="str">
            <v>int</v>
          </cell>
          <cell r="W5" t="str">
            <v>int</v>
          </cell>
          <cell r="X5" t="str">
            <v>int</v>
          </cell>
          <cell r="Y5" t="str">
            <v>int</v>
          </cell>
          <cell r="Z5" t="str">
            <v>boolean</v>
          </cell>
          <cell r="AA5" t="str">
            <v>string</v>
          </cell>
          <cell r="AB5" t="str">
            <v>intList</v>
          </cell>
          <cell r="AC5" t="str">
            <v>int</v>
          </cell>
          <cell r="AD5" t="str">
            <v>intList</v>
          </cell>
          <cell r="AE5" t="str">
            <v>intList</v>
          </cell>
          <cell r="AF5" t="str">
            <v>intList</v>
          </cell>
          <cell r="AG5" t="str">
            <v>int</v>
          </cell>
          <cell r="AH5" t="str">
            <v>int</v>
          </cell>
        </row>
        <row r="6">
          <cell r="A6">
            <v>1000</v>
          </cell>
          <cell r="B6" t="str">
            <v>小恶魔</v>
          </cell>
          <cell r="C6">
            <v>1</v>
          </cell>
          <cell r="D6">
            <v>101000</v>
          </cell>
          <cell r="E6" t="str">
            <v>head_1000</v>
          </cell>
          <cell r="F6">
            <v>1</v>
          </cell>
          <cell r="G6">
            <v>1</v>
          </cell>
          <cell r="H6">
            <v>1</v>
          </cell>
          <cell r="I6">
            <v>2</v>
          </cell>
          <cell r="J6">
            <v>4</v>
          </cell>
          <cell r="K6">
            <v>4</v>
          </cell>
          <cell r="L6" t="str">
            <v>{1}</v>
          </cell>
          <cell r="M6" t="str">
            <v>skill3</v>
          </cell>
          <cell r="N6">
            <v>17</v>
          </cell>
          <cell r="O6" t="str">
            <v>{{1,145}|{2,29}|{3,909}|{4,600}|{5,15000}|{6,9000}|{7,0}|{8,10000}|{9,10000}|{10,3622}|{11,0}|{12,0}}</v>
          </cell>
          <cell r="P6">
            <v>1200</v>
          </cell>
          <cell r="Q6">
            <v>600</v>
          </cell>
          <cell r="R6">
            <v>2393</v>
          </cell>
          <cell r="S6" t="str">
            <v>{10002,10001,10003,10004}</v>
          </cell>
          <cell r="T6">
            <v>91000</v>
          </cell>
          <cell r="U6">
            <v>8</v>
          </cell>
        </row>
        <row r="6">
          <cell r="W6">
            <v>1000</v>
          </cell>
          <cell r="X6">
            <v>111000</v>
          </cell>
          <cell r="Y6">
            <v>1</v>
          </cell>
          <cell r="Z6" t="b">
            <v>1</v>
          </cell>
        </row>
        <row r="6">
          <cell r="AB6" t="str">
            <v>{210001,210002}</v>
          </cell>
          <cell r="AC6">
            <v>210002</v>
          </cell>
        </row>
        <row r="7">
          <cell r="A7">
            <v>1001</v>
          </cell>
          <cell r="B7" t="str">
            <v>鱼人</v>
          </cell>
          <cell r="C7">
            <v>1</v>
          </cell>
          <cell r="D7">
            <v>101001</v>
          </cell>
          <cell r="E7" t="str">
            <v>head_1001</v>
          </cell>
          <cell r="F7">
            <v>1</v>
          </cell>
          <cell r="G7">
            <v>1</v>
          </cell>
          <cell r="H7">
            <v>1</v>
          </cell>
          <cell r="I7">
            <v>1</v>
          </cell>
          <cell r="J7">
            <v>2</v>
          </cell>
          <cell r="K7">
            <v>3</v>
          </cell>
          <cell r="L7" t="str">
            <v>{2}</v>
          </cell>
          <cell r="M7" t="str">
            <v>skill3</v>
          </cell>
          <cell r="N7">
            <v>17</v>
          </cell>
          <cell r="O7" t="str">
            <v>{{1,101}|{2,43}|{3,1345}|{4,600}|{5,15000}|{6,9000}|{7,0}|{8,10000}|{9,10000}|{10,3623}|{11,0}|{12,0}}</v>
          </cell>
          <cell r="P7">
            <v>1000</v>
          </cell>
          <cell r="Q7">
            <v>300</v>
          </cell>
          <cell r="R7">
            <v>2393</v>
          </cell>
          <cell r="S7" t="str">
            <v>{10012,10011,10013}</v>
          </cell>
          <cell r="T7">
            <v>91001</v>
          </cell>
          <cell r="U7">
            <v>7</v>
          </cell>
        </row>
        <row r="7">
          <cell r="W7">
            <v>1001</v>
          </cell>
          <cell r="X7">
            <v>111001</v>
          </cell>
          <cell r="Y7">
            <v>1</v>
          </cell>
          <cell r="Z7" t="b">
            <v>1</v>
          </cell>
        </row>
        <row r="7">
          <cell r="AB7" t="str">
            <v>{210011,210012}</v>
          </cell>
          <cell r="AC7">
            <v>210012</v>
          </cell>
        </row>
        <row r="8">
          <cell r="A8">
            <v>1002</v>
          </cell>
          <cell r="B8" t="str">
            <v>吸血蝙蝠</v>
          </cell>
          <cell r="C8">
            <v>1</v>
          </cell>
          <cell r="D8">
            <v>101002</v>
          </cell>
          <cell r="E8" t="str">
            <v>head_1002</v>
          </cell>
          <cell r="F8">
            <v>1</v>
          </cell>
          <cell r="G8">
            <v>1</v>
          </cell>
          <cell r="H8">
            <v>1</v>
          </cell>
          <cell r="I8">
            <v>1</v>
          </cell>
          <cell r="J8">
            <v>1</v>
          </cell>
          <cell r="K8">
            <v>2</v>
          </cell>
          <cell r="L8" t="str">
            <v>{1,7}</v>
          </cell>
          <cell r="M8" t="str">
            <v>skill3</v>
          </cell>
          <cell r="N8">
            <v>17</v>
          </cell>
          <cell r="O8" t="str">
            <v>{{1,181}|{2,36}|{3,909}|{4,600}|{5,15000}|{6,9000}|{7,0}|{8,10000}|{9,10000}|{10,3623}|{11,0}|{12,0}}</v>
          </cell>
          <cell r="P8">
            <v>1000</v>
          </cell>
          <cell r="Q8">
            <v>300</v>
          </cell>
          <cell r="R8">
            <v>2393</v>
          </cell>
          <cell r="S8" t="str">
            <v>{10022,10021,10023}</v>
          </cell>
          <cell r="T8">
            <v>91002</v>
          </cell>
          <cell r="U8">
            <v>6</v>
          </cell>
        </row>
        <row r="8">
          <cell r="W8">
            <v>1002</v>
          </cell>
          <cell r="X8">
            <v>111002</v>
          </cell>
          <cell r="Y8">
            <v>1</v>
          </cell>
          <cell r="Z8" t="b">
            <v>1</v>
          </cell>
        </row>
        <row r="8">
          <cell r="AB8" t="str">
            <v>{210021,210022}</v>
          </cell>
          <cell r="AC8" t="str">
            <v>210021</v>
          </cell>
        </row>
        <row r="9">
          <cell r="A9">
            <v>1003</v>
          </cell>
          <cell r="B9" t="str">
            <v>食尸鬼</v>
          </cell>
          <cell r="C9">
            <v>1</v>
          </cell>
          <cell r="D9">
            <v>101003</v>
          </cell>
          <cell r="E9" t="str">
            <v>head_1003</v>
          </cell>
          <cell r="F9">
            <v>1</v>
          </cell>
          <cell r="G9">
            <v>1</v>
          </cell>
          <cell r="H9">
            <v>1</v>
          </cell>
          <cell r="I9">
            <v>1</v>
          </cell>
          <cell r="J9">
            <v>1</v>
          </cell>
          <cell r="K9">
            <v>3</v>
          </cell>
          <cell r="L9" t="str">
            <v>{1}</v>
          </cell>
          <cell r="M9" t="str">
            <v>skill3</v>
          </cell>
          <cell r="N9">
            <v>17</v>
          </cell>
          <cell r="O9" t="str">
            <v>{{1,181}|{2,36}|{3,909}|{4,600}|{5,15000}|{6,9000}|{7,0}|{8,10000}|{9,10000}|{10,3623}|{11,0}|{12,0}}</v>
          </cell>
          <cell r="P9">
            <v>1000</v>
          </cell>
          <cell r="Q9">
            <v>300</v>
          </cell>
          <cell r="R9">
            <v>2393</v>
          </cell>
          <cell r="S9" t="str">
            <v>{10032,10031,10033}</v>
          </cell>
          <cell r="T9">
            <v>91003</v>
          </cell>
          <cell r="U9">
            <v>7</v>
          </cell>
        </row>
        <row r="9">
          <cell r="W9">
            <v>1003</v>
          </cell>
          <cell r="X9">
            <v>111003</v>
          </cell>
          <cell r="Y9">
            <v>1</v>
          </cell>
          <cell r="Z9" t="b">
            <v>1</v>
          </cell>
        </row>
        <row r="9">
          <cell r="AB9" t="str">
            <v>{210031,210032}</v>
          </cell>
          <cell r="AC9" t="str">
            <v>210031</v>
          </cell>
        </row>
        <row r="10">
          <cell r="A10">
            <v>1005</v>
          </cell>
          <cell r="B10" t="str">
            <v>地穴蜘蛛</v>
          </cell>
          <cell r="C10">
            <v>1</v>
          </cell>
          <cell r="D10">
            <v>101005</v>
          </cell>
          <cell r="E10" t="str">
            <v>head_1005</v>
          </cell>
          <cell r="F10">
            <v>1</v>
          </cell>
          <cell r="G10">
            <v>1</v>
          </cell>
          <cell r="H10">
            <v>1</v>
          </cell>
          <cell r="I10">
            <v>2</v>
          </cell>
          <cell r="J10">
            <v>4</v>
          </cell>
          <cell r="K10">
            <v>2</v>
          </cell>
          <cell r="L10" t="str">
            <v>{6}</v>
          </cell>
          <cell r="M10" t="str">
            <v>skill3</v>
          </cell>
          <cell r="N10">
            <v>17</v>
          </cell>
          <cell r="O10" t="str">
            <v>{{1,145}|{2,29}|{3,909}|{4,600}|{5,15000}|{6,9000}|{7,0}|{8,10000}|{9,10000}|{10,3622}|{11,0}|{12,0}}</v>
          </cell>
          <cell r="P10">
            <v>1000</v>
          </cell>
          <cell r="Q10">
            <v>600</v>
          </cell>
          <cell r="R10">
            <v>2393</v>
          </cell>
          <cell r="S10" t="str">
            <v>{10052,10051,10053}</v>
          </cell>
          <cell r="T10">
            <v>91005</v>
          </cell>
          <cell r="U10">
            <v>6</v>
          </cell>
        </row>
        <row r="10">
          <cell r="W10">
            <v>1005</v>
          </cell>
          <cell r="X10">
            <v>111005</v>
          </cell>
          <cell r="Y10">
            <v>1</v>
          </cell>
          <cell r="Z10" t="b">
            <v>1</v>
          </cell>
        </row>
        <row r="10">
          <cell r="AB10" t="str">
            <v>{210051,210052}</v>
          </cell>
          <cell r="AC10" t="str">
            <v>210051</v>
          </cell>
        </row>
        <row r="11">
          <cell r="A11">
            <v>1006</v>
          </cell>
          <cell r="B11" t="str">
            <v>冰精灵</v>
          </cell>
          <cell r="C11">
            <v>1</v>
          </cell>
          <cell r="D11">
            <v>101006</v>
          </cell>
          <cell r="E11" t="str">
            <v>head_1006</v>
          </cell>
          <cell r="F11">
            <v>1</v>
          </cell>
          <cell r="G11">
            <v>1</v>
          </cell>
          <cell r="H11">
            <v>1</v>
          </cell>
          <cell r="I11">
            <v>2</v>
          </cell>
          <cell r="J11">
            <v>3</v>
          </cell>
          <cell r="K11">
            <v>1</v>
          </cell>
          <cell r="L11" t="str">
            <v>{7}</v>
          </cell>
          <cell r="M11" t="str">
            <v>skill3</v>
          </cell>
          <cell r="N11">
            <v>17</v>
          </cell>
          <cell r="O11" t="str">
            <v>{{1,112}|{2,32}|{3,1090}|{4,600}|{5,15000}|{6,9000}|{7,0}|{8,10000}|{9,10000}|{10,3622}|{11,0}|{12,0}}</v>
          </cell>
          <cell r="P11">
            <v>1300</v>
          </cell>
          <cell r="Q11">
            <v>600</v>
          </cell>
          <cell r="R11">
            <v>2393</v>
          </cell>
          <cell r="S11" t="str">
            <v>{10062,10061,10063}</v>
          </cell>
          <cell r="T11">
            <v>91006</v>
          </cell>
          <cell r="U11">
            <v>5</v>
          </cell>
        </row>
        <row r="11">
          <cell r="W11">
            <v>1006</v>
          </cell>
          <cell r="X11">
            <v>111006</v>
          </cell>
          <cell r="Y11">
            <v>1</v>
          </cell>
          <cell r="Z11" t="b">
            <v>1</v>
          </cell>
        </row>
        <row r="11">
          <cell r="AB11" t="str">
            <v>{210061,210062}</v>
          </cell>
          <cell r="AC11" t="str">
            <v>210061</v>
          </cell>
        </row>
        <row r="12">
          <cell r="A12">
            <v>1007</v>
          </cell>
          <cell r="B12" t="str">
            <v>火精灵</v>
          </cell>
          <cell r="C12">
            <v>1</v>
          </cell>
          <cell r="D12">
            <v>101007</v>
          </cell>
          <cell r="E12" t="str">
            <v>head_1007</v>
          </cell>
          <cell r="F12">
            <v>1</v>
          </cell>
          <cell r="G12">
            <v>1</v>
          </cell>
          <cell r="H12">
            <v>1</v>
          </cell>
          <cell r="I12">
            <v>2</v>
          </cell>
          <cell r="J12">
            <v>4</v>
          </cell>
          <cell r="K12">
            <v>1</v>
          </cell>
          <cell r="L12" t="str">
            <v>{2}</v>
          </cell>
          <cell r="M12" t="str">
            <v>skill3</v>
          </cell>
          <cell r="N12">
            <v>17</v>
          </cell>
          <cell r="O12" t="str">
            <v>{{1,145}|{2,29}|{3,909}|{4,600}|{5,15000}|{6,9000}|{7,0}|{8,10000}|{9,10000}|{10,3622}|{11,0}|{12,0}}</v>
          </cell>
          <cell r="P12">
            <v>1200</v>
          </cell>
          <cell r="Q12">
            <v>600</v>
          </cell>
          <cell r="R12">
            <v>2393</v>
          </cell>
          <cell r="S12" t="str">
            <v>{10072,10071,10073}</v>
          </cell>
          <cell r="T12">
            <v>91007</v>
          </cell>
          <cell r="U12">
            <v>5</v>
          </cell>
        </row>
        <row r="12">
          <cell r="W12">
            <v>1007</v>
          </cell>
          <cell r="X12">
            <v>111007</v>
          </cell>
          <cell r="Y12">
            <v>1</v>
          </cell>
          <cell r="Z12" t="b">
            <v>1</v>
          </cell>
        </row>
        <row r="12">
          <cell r="AB12" t="str">
            <v>{210071,210072}</v>
          </cell>
          <cell r="AC12" t="str">
            <v>210071</v>
          </cell>
        </row>
        <row r="13">
          <cell r="A13">
            <v>1017</v>
          </cell>
          <cell r="B13" t="str">
            <v>狂暴骷髅</v>
          </cell>
          <cell r="C13">
            <v>1</v>
          </cell>
          <cell r="D13">
            <v>101017</v>
          </cell>
          <cell r="E13" t="str">
            <v>head_1017</v>
          </cell>
          <cell r="F13">
            <v>1</v>
          </cell>
          <cell r="G13">
            <v>1</v>
          </cell>
          <cell r="H13">
            <v>1</v>
          </cell>
          <cell r="I13">
            <v>1</v>
          </cell>
          <cell r="J13">
            <v>1</v>
          </cell>
          <cell r="K13">
            <v>4</v>
          </cell>
          <cell r="L13" t="str">
            <v>{2}</v>
          </cell>
          <cell r="M13" t="str">
            <v>skill3</v>
          </cell>
          <cell r="N13">
            <v>17</v>
          </cell>
          <cell r="O13" t="str">
            <v>{{1,181}|{2,36}|{3,909}|{4,600}|{5,15000}|{6,9000}|{7,0}|{8,10000}|{9,10000}|{10,3623}|{11,0}|{12,0}}</v>
          </cell>
          <cell r="P13">
            <v>1000</v>
          </cell>
          <cell r="Q13">
            <v>300</v>
          </cell>
          <cell r="R13">
            <v>2393</v>
          </cell>
          <cell r="S13" t="str">
            <v>{10172,10171,10173}</v>
          </cell>
          <cell r="T13">
            <v>91017</v>
          </cell>
          <cell r="U13">
            <v>8</v>
          </cell>
        </row>
        <row r="13">
          <cell r="W13">
            <v>1017</v>
          </cell>
          <cell r="X13">
            <v>111017</v>
          </cell>
          <cell r="Y13">
            <v>1</v>
          </cell>
          <cell r="Z13" t="b">
            <v>1</v>
          </cell>
        </row>
        <row r="13">
          <cell r="AB13" t="str">
            <v>{210171,210172}</v>
          </cell>
          <cell r="AC13" t="str">
            <v>210171</v>
          </cell>
        </row>
        <row r="14">
          <cell r="A14">
            <v>1010</v>
          </cell>
          <cell r="B14" t="str">
            <v>沙漠蝎</v>
          </cell>
          <cell r="C14">
            <v>2</v>
          </cell>
          <cell r="D14">
            <v>101010</v>
          </cell>
          <cell r="E14" t="str">
            <v>head_1010</v>
          </cell>
          <cell r="F14">
            <v>1</v>
          </cell>
          <cell r="G14">
            <v>3</v>
          </cell>
          <cell r="H14">
            <v>8</v>
          </cell>
          <cell r="I14">
            <v>1</v>
          </cell>
          <cell r="J14">
            <v>2</v>
          </cell>
          <cell r="K14">
            <v>2</v>
          </cell>
          <cell r="L14" t="str">
            <v>{6}</v>
          </cell>
          <cell r="M14" t="str">
            <v>skill3</v>
          </cell>
          <cell r="N14">
            <v>17</v>
          </cell>
          <cell r="O14" t="str">
            <v>{{1,152}|{2,65}|{3,2018}|{4,600}|{5,15000}|{6,9000}|{7,0}|{8,10000}|{9,10000}|{10,3623}|{11,0}|{12,0}}</v>
          </cell>
          <cell r="P14">
            <v>1000</v>
          </cell>
          <cell r="Q14">
            <v>300</v>
          </cell>
          <cell r="R14">
            <v>2393</v>
          </cell>
          <cell r="S14" t="str">
            <v>{10102,10101,10103,10104}</v>
          </cell>
          <cell r="T14">
            <v>91010</v>
          </cell>
          <cell r="U14">
            <v>6</v>
          </cell>
        </row>
        <row r="14">
          <cell r="W14">
            <v>1010</v>
          </cell>
          <cell r="X14">
            <v>111010</v>
          </cell>
          <cell r="Y14">
            <v>1</v>
          </cell>
          <cell r="Z14" t="b">
            <v>1</v>
          </cell>
        </row>
        <row r="14">
          <cell r="AB14" t="str">
            <v>{210101,210102}</v>
          </cell>
          <cell r="AC14" t="str">
            <v>210101</v>
          </cell>
        </row>
        <row r="15">
          <cell r="A15">
            <v>1011</v>
          </cell>
          <cell r="B15" t="str">
            <v>树精</v>
          </cell>
          <cell r="C15">
            <v>2</v>
          </cell>
          <cell r="D15">
            <v>101011</v>
          </cell>
          <cell r="E15" t="str">
            <v>head_1011</v>
          </cell>
          <cell r="F15">
            <v>1</v>
          </cell>
          <cell r="G15">
            <v>3</v>
          </cell>
          <cell r="H15">
            <v>8</v>
          </cell>
          <cell r="I15">
            <v>1</v>
          </cell>
          <cell r="J15">
            <v>2</v>
          </cell>
          <cell r="K15">
            <v>1</v>
          </cell>
          <cell r="L15" t="str">
            <v>{4}</v>
          </cell>
          <cell r="M15" t="str">
            <v>skill3</v>
          </cell>
          <cell r="N15">
            <v>17</v>
          </cell>
          <cell r="O15" t="str">
            <v>{{1,152}|{2,65}|{3,2018}|{4,600}|{5,15000}|{6,9000}|{7,0}|{8,10000}|{9,10000}|{10,3623}|{11,0}|{12,0}}</v>
          </cell>
          <cell r="P15">
            <v>1000</v>
          </cell>
          <cell r="Q15">
            <v>300</v>
          </cell>
          <cell r="R15">
            <v>2393</v>
          </cell>
          <cell r="S15" t="str">
            <v>{10112,10111,10113,10114}</v>
          </cell>
          <cell r="T15">
            <v>91011</v>
          </cell>
          <cell r="U15">
            <v>5</v>
          </cell>
        </row>
        <row r="15">
          <cell r="W15">
            <v>1011</v>
          </cell>
          <cell r="X15">
            <v>111011</v>
          </cell>
          <cell r="Y15">
            <v>1</v>
          </cell>
          <cell r="Z15" t="b">
            <v>1</v>
          </cell>
        </row>
        <row r="15">
          <cell r="AB15" t="str">
            <v>{210111,210112}</v>
          </cell>
          <cell r="AC15" t="str">
            <v>210111</v>
          </cell>
        </row>
        <row r="16">
          <cell r="A16">
            <v>1012</v>
          </cell>
          <cell r="B16" t="str">
            <v>掘地虫</v>
          </cell>
          <cell r="C16">
            <v>2</v>
          </cell>
          <cell r="D16">
            <v>101012</v>
          </cell>
          <cell r="E16" t="str">
            <v>head_1012</v>
          </cell>
          <cell r="F16">
            <v>1</v>
          </cell>
          <cell r="G16">
            <v>3</v>
          </cell>
          <cell r="H16">
            <v>8</v>
          </cell>
          <cell r="I16">
            <v>1</v>
          </cell>
          <cell r="J16">
            <v>1</v>
          </cell>
          <cell r="K16">
            <v>2</v>
          </cell>
          <cell r="L16" t="str">
            <v>{2}</v>
          </cell>
          <cell r="M16" t="str">
            <v>skill3</v>
          </cell>
          <cell r="N16">
            <v>17</v>
          </cell>
          <cell r="O16" t="str">
            <v>{{1,313}|{2,38}|{3,1363}|{4,600}|{5,15000}|{6,9000}|{7,0}|{8,10000}|{9,10000}|{10,3623}|{11,0}|{12,0}}</v>
          </cell>
          <cell r="P16">
            <v>1000</v>
          </cell>
          <cell r="Q16">
            <v>300</v>
          </cell>
          <cell r="R16">
            <v>2393</v>
          </cell>
          <cell r="S16" t="str">
            <v>{10122,10121,10123,10124}</v>
          </cell>
          <cell r="T16">
            <v>91012</v>
          </cell>
          <cell r="U16">
            <v>6</v>
          </cell>
        </row>
        <row r="16">
          <cell r="W16">
            <v>1012</v>
          </cell>
          <cell r="X16">
            <v>111012</v>
          </cell>
          <cell r="Y16">
            <v>1</v>
          </cell>
          <cell r="Z16" t="b">
            <v>1</v>
          </cell>
        </row>
        <row r="16">
          <cell r="AB16" t="str">
            <v>{210121,210122}</v>
          </cell>
          <cell r="AC16" t="str">
            <v>210121</v>
          </cell>
        </row>
        <row r="17">
          <cell r="A17">
            <v>1013</v>
          </cell>
          <cell r="B17" t="str">
            <v>镰鼬</v>
          </cell>
          <cell r="C17">
            <v>2</v>
          </cell>
          <cell r="D17">
            <v>101013</v>
          </cell>
          <cell r="E17" t="str">
            <v>head_1013</v>
          </cell>
          <cell r="F17">
            <v>1</v>
          </cell>
          <cell r="G17">
            <v>3</v>
          </cell>
          <cell r="H17">
            <v>8</v>
          </cell>
          <cell r="I17">
            <v>1</v>
          </cell>
          <cell r="J17">
            <v>1</v>
          </cell>
          <cell r="K17">
            <v>2</v>
          </cell>
          <cell r="L17" t="str">
            <v>{1}</v>
          </cell>
          <cell r="M17" t="str">
            <v>skill3</v>
          </cell>
          <cell r="N17">
            <v>17</v>
          </cell>
          <cell r="O17" t="str">
            <v>{{1,272}|{2,54}|{3,1363}|{4,600}|{5,15000}|{6,9000}|{7,0}|{8,10000}|{9,10000}|{10,3623}|{11,0}|{12,0}}</v>
          </cell>
          <cell r="P17">
            <v>1000</v>
          </cell>
          <cell r="Q17">
            <v>300</v>
          </cell>
          <cell r="R17">
            <v>2393</v>
          </cell>
          <cell r="S17" t="str">
            <v>{10132,10131,10133,10134}</v>
          </cell>
          <cell r="T17">
            <v>91013</v>
          </cell>
          <cell r="U17">
            <v>6</v>
          </cell>
        </row>
        <row r="17">
          <cell r="W17">
            <v>1013</v>
          </cell>
          <cell r="X17">
            <v>111013</v>
          </cell>
          <cell r="Y17">
            <v>1</v>
          </cell>
          <cell r="Z17" t="b">
            <v>1</v>
          </cell>
        </row>
        <row r="17">
          <cell r="AB17" t="str">
            <v>{210131,210132}</v>
          </cell>
          <cell r="AC17" t="str">
            <v>210131</v>
          </cell>
        </row>
        <row r="18">
          <cell r="A18">
            <v>1014</v>
          </cell>
          <cell r="B18" t="str">
            <v>高鸟</v>
          </cell>
          <cell r="C18">
            <v>2</v>
          </cell>
          <cell r="D18">
            <v>101014</v>
          </cell>
          <cell r="E18" t="str">
            <v>head_1014</v>
          </cell>
          <cell r="F18">
            <v>1</v>
          </cell>
          <cell r="G18">
            <v>3</v>
          </cell>
          <cell r="H18">
            <v>8</v>
          </cell>
          <cell r="I18">
            <v>2</v>
          </cell>
          <cell r="J18">
            <v>4</v>
          </cell>
          <cell r="K18">
            <v>1</v>
          </cell>
          <cell r="L18" t="str">
            <v>{2}</v>
          </cell>
          <cell r="M18" t="str">
            <v>skill3</v>
          </cell>
          <cell r="N18">
            <v>17</v>
          </cell>
          <cell r="O18" t="str">
            <v>{{1,218}|{2,43}|{3,1363}|{4,600}|{5,15000}|{6,9000}|{7,0}|{8,10000}|{9,10000}|{10,3622}|{11,0}|{12,0}}</v>
          </cell>
          <cell r="P18">
            <v>1000</v>
          </cell>
          <cell r="Q18">
            <v>600</v>
          </cell>
          <cell r="R18">
            <v>2393</v>
          </cell>
          <cell r="S18" t="str">
            <v>{10142,10141,10143,10144}</v>
          </cell>
          <cell r="T18">
            <v>91014</v>
          </cell>
          <cell r="U18">
            <v>5</v>
          </cell>
        </row>
        <row r="18">
          <cell r="W18">
            <v>1014</v>
          </cell>
          <cell r="X18">
            <v>111014</v>
          </cell>
          <cell r="Y18">
            <v>1</v>
          </cell>
          <cell r="Z18" t="b">
            <v>1</v>
          </cell>
        </row>
        <row r="18">
          <cell r="AB18" t="str">
            <v>{210141}</v>
          </cell>
          <cell r="AC18" t="str">
            <v>210141</v>
          </cell>
        </row>
        <row r="19">
          <cell r="A19">
            <v>1015</v>
          </cell>
          <cell r="B19" t="str">
            <v>雏龙</v>
          </cell>
          <cell r="C19">
            <v>2</v>
          </cell>
          <cell r="D19">
            <v>101015</v>
          </cell>
          <cell r="E19" t="str">
            <v>head_1015</v>
          </cell>
          <cell r="F19">
            <v>1</v>
          </cell>
          <cell r="G19">
            <v>3</v>
          </cell>
          <cell r="H19">
            <v>8</v>
          </cell>
          <cell r="I19">
            <v>2</v>
          </cell>
          <cell r="J19">
            <v>4</v>
          </cell>
          <cell r="K19">
            <v>1</v>
          </cell>
          <cell r="L19" t="str">
            <v>{2}</v>
          </cell>
          <cell r="M19" t="str">
            <v>skill3</v>
          </cell>
          <cell r="N19">
            <v>17</v>
          </cell>
          <cell r="O19" t="str">
            <v>{{1,218}|{2,43}|{3,1363}|{4,600}|{5,15000}|{6,9000}|{7,0}|{8,10000}|{9,10000}|{10,3622}|{11,0}|{12,0}}</v>
          </cell>
          <cell r="P19">
            <v>1200</v>
          </cell>
          <cell r="Q19">
            <v>600</v>
          </cell>
          <cell r="R19">
            <v>2393</v>
          </cell>
          <cell r="S19" t="str">
            <v>{10152,10151,10153,10154}</v>
          </cell>
          <cell r="T19">
            <v>91015</v>
          </cell>
          <cell r="U19">
            <v>5</v>
          </cell>
        </row>
        <row r="19">
          <cell r="W19">
            <v>1015</v>
          </cell>
          <cell r="X19">
            <v>111015</v>
          </cell>
          <cell r="Y19">
            <v>1</v>
          </cell>
          <cell r="Z19" t="b">
            <v>1</v>
          </cell>
        </row>
        <row r="19">
          <cell r="AB19" t="str">
            <v>{210151,210152}</v>
          </cell>
          <cell r="AC19" t="str">
            <v>210151</v>
          </cell>
        </row>
        <row r="20">
          <cell r="A20">
            <v>2006</v>
          </cell>
          <cell r="B20" t="str">
            <v>死光</v>
          </cell>
          <cell r="C20">
            <v>2</v>
          </cell>
          <cell r="D20">
            <v>102006</v>
          </cell>
          <cell r="E20" t="str">
            <v>head_2006</v>
          </cell>
          <cell r="F20">
            <v>1</v>
          </cell>
          <cell r="G20">
            <v>3</v>
          </cell>
          <cell r="H20">
            <v>8</v>
          </cell>
          <cell r="I20">
            <v>2</v>
          </cell>
          <cell r="J20">
            <v>3</v>
          </cell>
          <cell r="K20">
            <v>4</v>
          </cell>
          <cell r="L20" t="str">
            <v>{1,7}</v>
          </cell>
          <cell r="M20" t="str">
            <v>skill3</v>
          </cell>
          <cell r="N20">
            <v>17</v>
          </cell>
          <cell r="O20" t="str">
            <v>{{1,169}|{2,49}|{3,1636}|{4,600}|{5,15000}|{6,9000}|{7,0}|{8,10000}|{9,10000}|{10,3622}|{11,0}|{12,0}}</v>
          </cell>
          <cell r="P20">
            <v>1000</v>
          </cell>
          <cell r="Q20">
            <v>600</v>
          </cell>
          <cell r="R20">
            <v>2393</v>
          </cell>
          <cell r="S20" t="str">
            <v>{20062,20061,20063,20064}</v>
          </cell>
          <cell r="T20">
            <v>92006</v>
          </cell>
          <cell r="U20">
            <v>8</v>
          </cell>
        </row>
        <row r="20">
          <cell r="W20">
            <v>2006</v>
          </cell>
          <cell r="X20">
            <v>112006</v>
          </cell>
          <cell r="Y20">
            <v>1</v>
          </cell>
          <cell r="Z20" t="b">
            <v>1</v>
          </cell>
        </row>
        <row r="20">
          <cell r="AB20" t="str">
            <v>{220061,220062}</v>
          </cell>
          <cell r="AC20" t="str">
            <v>220061</v>
          </cell>
        </row>
        <row r="21">
          <cell r="A21">
            <v>2007</v>
          </cell>
          <cell r="B21" t="str">
            <v>红角</v>
          </cell>
          <cell r="C21">
            <v>2</v>
          </cell>
          <cell r="D21">
            <v>102007</v>
          </cell>
          <cell r="E21" t="str">
            <v>head_2007</v>
          </cell>
          <cell r="F21">
            <v>1</v>
          </cell>
          <cell r="G21">
            <v>3</v>
          </cell>
          <cell r="H21">
            <v>8</v>
          </cell>
          <cell r="I21">
            <v>1</v>
          </cell>
          <cell r="J21">
            <v>1</v>
          </cell>
          <cell r="K21">
            <v>4</v>
          </cell>
          <cell r="L21" t="str">
            <v>{2}</v>
          </cell>
          <cell r="M21" t="str">
            <v>skill3</v>
          </cell>
          <cell r="N21">
            <v>17</v>
          </cell>
          <cell r="O21" t="str">
            <v>{{1,272}|{2,54}|{3,1363}|{4,600}|{5,15000}|{6,9000}|{7,0}|{8,10000}|{9,10000}|{10,3623}|{11,0}|{12,0}}</v>
          </cell>
          <cell r="P21">
            <v>1000</v>
          </cell>
          <cell r="Q21">
            <v>300</v>
          </cell>
          <cell r="R21">
            <v>2393</v>
          </cell>
          <cell r="S21" t="str">
            <v>{20072,20071,20073,20074}</v>
          </cell>
          <cell r="T21">
            <v>92007</v>
          </cell>
          <cell r="U21">
            <v>8</v>
          </cell>
        </row>
        <row r="21">
          <cell r="W21">
            <v>2007</v>
          </cell>
          <cell r="X21">
            <v>112007</v>
          </cell>
          <cell r="Y21">
            <v>1</v>
          </cell>
          <cell r="Z21" t="b">
            <v>1</v>
          </cell>
        </row>
        <row r="21">
          <cell r="AB21" t="str">
            <v>{220071,220072}</v>
          </cell>
          <cell r="AC21" t="str">
            <v>220071</v>
          </cell>
        </row>
        <row r="22">
          <cell r="A22">
            <v>2008</v>
          </cell>
          <cell r="B22" t="str">
            <v>科学怪人</v>
          </cell>
          <cell r="C22">
            <v>2</v>
          </cell>
          <cell r="D22">
            <v>102008</v>
          </cell>
          <cell r="E22" t="str">
            <v>head_2008</v>
          </cell>
          <cell r="F22">
            <v>1</v>
          </cell>
          <cell r="G22">
            <v>3</v>
          </cell>
          <cell r="H22">
            <v>8</v>
          </cell>
          <cell r="I22">
            <v>1</v>
          </cell>
          <cell r="J22">
            <v>2</v>
          </cell>
          <cell r="K22">
            <v>3</v>
          </cell>
          <cell r="L22" t="str">
            <v>{2}</v>
          </cell>
          <cell r="M22" t="str">
            <v>skill3</v>
          </cell>
          <cell r="N22">
            <v>17</v>
          </cell>
          <cell r="O22" t="str">
            <v>{{1,152}|{2,65}|{3,2018}|{4,600}|{5,15000}|{6,9000}|{7,0}|{8,10000}|{9,10000}|{10,3623}|{11,0}|{12,0}}</v>
          </cell>
          <cell r="P22">
            <v>1000</v>
          </cell>
          <cell r="Q22">
            <v>300</v>
          </cell>
          <cell r="R22">
            <v>2393</v>
          </cell>
          <cell r="S22" t="str">
            <v>{20082,20081,20083,20084}</v>
          </cell>
          <cell r="T22">
            <v>92008</v>
          </cell>
          <cell r="U22">
            <v>7</v>
          </cell>
        </row>
        <row r="22">
          <cell r="W22">
            <v>2008</v>
          </cell>
          <cell r="X22">
            <v>112008</v>
          </cell>
          <cell r="Y22">
            <v>1</v>
          </cell>
          <cell r="Z22" t="b">
            <v>1</v>
          </cell>
        </row>
        <row r="22">
          <cell r="AB22" t="str">
            <v>{220081,220082}</v>
          </cell>
          <cell r="AC22">
            <v>220082</v>
          </cell>
        </row>
        <row r="23">
          <cell r="A23">
            <v>2009</v>
          </cell>
          <cell r="B23" t="str">
            <v>娜迦</v>
          </cell>
          <cell r="C23">
            <v>2</v>
          </cell>
          <cell r="D23">
            <v>102009</v>
          </cell>
          <cell r="E23" t="str">
            <v>head_2009</v>
          </cell>
          <cell r="F23">
            <v>1</v>
          </cell>
          <cell r="G23">
            <v>3</v>
          </cell>
          <cell r="H23">
            <v>8</v>
          </cell>
          <cell r="I23">
            <v>1</v>
          </cell>
          <cell r="J23">
            <v>1</v>
          </cell>
          <cell r="K23">
            <v>3</v>
          </cell>
          <cell r="L23" t="str">
            <v>{7}</v>
          </cell>
          <cell r="M23" t="str">
            <v>skill3</v>
          </cell>
          <cell r="N23">
            <v>17</v>
          </cell>
          <cell r="O23" t="str">
            <v>{{1,272}|{2,54}|{3,1363}|{4,600}|{5,15000}|{6,9000}|{7,0}|{8,10000}|{9,10000}|{10,3623}|{11,0}|{12,0}}</v>
          </cell>
          <cell r="P23">
            <v>1000</v>
          </cell>
          <cell r="Q23">
            <v>300</v>
          </cell>
          <cell r="R23">
            <v>2393</v>
          </cell>
          <cell r="S23" t="str">
            <v>{20092,20091,20093,20094}</v>
          </cell>
          <cell r="T23">
            <v>92009</v>
          </cell>
          <cell r="U23">
            <v>7</v>
          </cell>
        </row>
        <row r="23">
          <cell r="W23">
            <v>2009</v>
          </cell>
          <cell r="X23">
            <v>112009</v>
          </cell>
          <cell r="Y23">
            <v>1</v>
          </cell>
          <cell r="Z23" t="b">
            <v>1</v>
          </cell>
        </row>
        <row r="23">
          <cell r="AB23" t="str">
            <v>{220091,220092}</v>
          </cell>
          <cell r="AC23" t="str">
            <v>220091</v>
          </cell>
        </row>
        <row r="24">
          <cell r="A24">
            <v>2013</v>
          </cell>
          <cell r="B24" t="str">
            <v>石像鬼</v>
          </cell>
          <cell r="C24">
            <v>2</v>
          </cell>
          <cell r="D24">
            <v>102013</v>
          </cell>
          <cell r="E24" t="str">
            <v>head_2013</v>
          </cell>
          <cell r="F24">
            <v>1</v>
          </cell>
          <cell r="G24">
            <v>3</v>
          </cell>
          <cell r="H24">
            <v>8</v>
          </cell>
          <cell r="I24">
            <v>1</v>
          </cell>
          <cell r="J24">
            <v>2</v>
          </cell>
          <cell r="K24">
            <v>4</v>
          </cell>
          <cell r="L24" t="str">
            <v>{7,3}</v>
          </cell>
          <cell r="M24" t="str">
            <v>skill3</v>
          </cell>
          <cell r="N24">
            <v>17</v>
          </cell>
          <cell r="O24" t="str">
            <v>{{1,152}|{2,65}|{3,2018}|{4,600}|{5,15000}|{6,9000}|{7,0}|{8,10000}|{9,10000}|{10,3623}|{11,0}|{12,0}}</v>
          </cell>
          <cell r="P24">
            <v>1000</v>
          </cell>
          <cell r="Q24">
            <v>300</v>
          </cell>
          <cell r="R24">
            <v>2393</v>
          </cell>
          <cell r="S24" t="str">
            <v>{20132,20131,20133,20134}</v>
          </cell>
          <cell r="T24">
            <v>92013</v>
          </cell>
          <cell r="U24">
            <v>8</v>
          </cell>
        </row>
        <row r="24">
          <cell r="W24">
            <v>2013</v>
          </cell>
          <cell r="X24">
            <v>112013</v>
          </cell>
          <cell r="Y24">
            <v>1</v>
          </cell>
          <cell r="Z24" t="b">
            <v>1</v>
          </cell>
        </row>
        <row r="24">
          <cell r="AB24" t="str">
            <v>{220131,220132}</v>
          </cell>
          <cell r="AC24" t="str">
            <v>220131</v>
          </cell>
        </row>
        <row r="25">
          <cell r="A25">
            <v>2015</v>
          </cell>
          <cell r="B25" t="str">
            <v>吸血鬼</v>
          </cell>
          <cell r="C25">
            <v>2</v>
          </cell>
          <cell r="D25">
            <v>102015</v>
          </cell>
          <cell r="E25" t="str">
            <v>head_2015</v>
          </cell>
          <cell r="F25">
            <v>1</v>
          </cell>
          <cell r="G25">
            <v>3</v>
          </cell>
          <cell r="H25">
            <v>8</v>
          </cell>
          <cell r="I25">
            <v>1</v>
          </cell>
          <cell r="J25">
            <v>1</v>
          </cell>
          <cell r="K25">
            <v>3</v>
          </cell>
          <cell r="L25" t="str">
            <v>{3}</v>
          </cell>
          <cell r="M25" t="str">
            <v>skill3</v>
          </cell>
          <cell r="N25">
            <v>17</v>
          </cell>
          <cell r="O25" t="str">
            <v>{{1,272}|{2,54}|{3,1363}|{4,600}|{5,15000}|{6,9000}|{7,0}|{8,10000}|{9,10000}|{10,3623}|{11,0}|{12,0}}</v>
          </cell>
          <cell r="P25">
            <v>1000</v>
          </cell>
          <cell r="Q25">
            <v>300</v>
          </cell>
          <cell r="R25">
            <v>2393</v>
          </cell>
          <cell r="S25" t="str">
            <v>{20152,20151,20153,20154}</v>
          </cell>
          <cell r="T25">
            <v>92015</v>
          </cell>
          <cell r="U25">
            <v>7</v>
          </cell>
        </row>
        <row r="25">
          <cell r="W25">
            <v>2015</v>
          </cell>
          <cell r="X25">
            <v>112015</v>
          </cell>
          <cell r="Y25">
            <v>1</v>
          </cell>
          <cell r="Z25" t="b">
            <v>1</v>
          </cell>
        </row>
        <row r="25">
          <cell r="AB25" t="str">
            <v>{220151,220152}</v>
          </cell>
          <cell r="AC25" t="str">
            <v>220151</v>
          </cell>
        </row>
        <row r="26">
          <cell r="A26">
            <v>3010</v>
          </cell>
          <cell r="B26" t="str">
            <v>夜哨</v>
          </cell>
          <cell r="C26">
            <v>2</v>
          </cell>
          <cell r="D26">
            <v>103010</v>
          </cell>
          <cell r="E26" t="str">
            <v>head_3010</v>
          </cell>
          <cell r="F26">
            <v>1</v>
          </cell>
          <cell r="G26">
            <v>3</v>
          </cell>
          <cell r="H26">
            <v>8</v>
          </cell>
          <cell r="I26">
            <v>1</v>
          </cell>
          <cell r="J26">
            <v>1</v>
          </cell>
          <cell r="K26">
            <v>1</v>
          </cell>
          <cell r="L26" t="str">
            <v>{1,2}</v>
          </cell>
          <cell r="M26" t="str">
            <v>skill3</v>
          </cell>
          <cell r="N26">
            <v>17</v>
          </cell>
          <cell r="O26" t="str">
            <v>{{1,272}|{2,54}|{3,1363}|{4,600}|{5,15000}|{6,9000}|{7,0}|{8,10000}|{9,10000}|{10,3623}|{11,0}|{12,0}}</v>
          </cell>
          <cell r="P26">
            <v>1000</v>
          </cell>
          <cell r="Q26">
            <v>300</v>
          </cell>
          <cell r="R26">
            <v>2393</v>
          </cell>
          <cell r="S26" t="str">
            <v>{30102,30101,30103,30104,30106}</v>
          </cell>
          <cell r="T26">
            <v>93010</v>
          </cell>
          <cell r="U26">
            <v>5</v>
          </cell>
        </row>
        <row r="26">
          <cell r="W26">
            <v>3010</v>
          </cell>
          <cell r="X26">
            <v>113010</v>
          </cell>
          <cell r="Y26">
            <v>1</v>
          </cell>
          <cell r="Z26" t="b">
            <v>1</v>
          </cell>
        </row>
        <row r="26">
          <cell r="AB26" t="str">
            <v>{230101,230102,230103}</v>
          </cell>
          <cell r="AC26" t="str">
            <v>230101</v>
          </cell>
        </row>
        <row r="27">
          <cell r="A27">
            <v>2017</v>
          </cell>
          <cell r="B27" t="str">
            <v>湍流之慧</v>
          </cell>
          <cell r="C27">
            <v>2</v>
          </cell>
          <cell r="D27">
            <v>102017</v>
          </cell>
          <cell r="E27" t="str">
            <v>head_2017</v>
          </cell>
          <cell r="F27">
            <v>1</v>
          </cell>
          <cell r="G27">
            <v>3</v>
          </cell>
          <cell r="H27">
            <v>8</v>
          </cell>
          <cell r="I27">
            <v>2</v>
          </cell>
          <cell r="J27">
            <v>3</v>
          </cell>
          <cell r="K27">
            <v>1</v>
          </cell>
          <cell r="L27" t="str">
            <v>{4}</v>
          </cell>
          <cell r="M27" t="str">
            <v>skill3</v>
          </cell>
          <cell r="N27">
            <v>17</v>
          </cell>
          <cell r="O27" t="str">
            <v>{{1,169}|{2,49}|{3,1636}|{4,600}|{5,15000}|{6,9000}|{7,0}|{8,10000}|{9,10000}|{10,3622}|{11,0}|{12,0}}</v>
          </cell>
          <cell r="P27">
            <v>1200</v>
          </cell>
          <cell r="Q27">
            <v>600</v>
          </cell>
          <cell r="R27">
            <v>2393</v>
          </cell>
          <cell r="S27" t="str">
            <v>{20172,20171,20173,20175,20176,20177}</v>
          </cell>
          <cell r="T27">
            <v>92017</v>
          </cell>
          <cell r="U27">
            <v>5</v>
          </cell>
        </row>
        <row r="27">
          <cell r="W27">
            <v>2017</v>
          </cell>
          <cell r="X27">
            <v>112017</v>
          </cell>
          <cell r="Y27">
            <v>1</v>
          </cell>
          <cell r="Z27" t="b">
            <v>1</v>
          </cell>
        </row>
        <row r="27">
          <cell r="AB27" t="str">
            <v>{220171,220172}</v>
          </cell>
          <cell r="AC27" t="str">
            <v>220171</v>
          </cell>
        </row>
        <row r="28">
          <cell r="A28">
            <v>2000</v>
          </cell>
          <cell r="B28" t="str">
            <v>迷你龙</v>
          </cell>
          <cell r="C28">
            <v>3</v>
          </cell>
          <cell r="D28">
            <v>102000</v>
          </cell>
          <cell r="E28" t="str">
            <v>head_2000</v>
          </cell>
          <cell r="F28">
            <v>1</v>
          </cell>
          <cell r="G28">
            <v>5</v>
          </cell>
          <cell r="H28">
            <v>10</v>
          </cell>
          <cell r="I28">
            <v>2</v>
          </cell>
          <cell r="J28">
            <v>4</v>
          </cell>
          <cell r="K28">
            <v>1</v>
          </cell>
          <cell r="L28" t="str">
            <v>{2}</v>
          </cell>
          <cell r="M28" t="str">
            <v>skill3</v>
          </cell>
          <cell r="N28">
            <v>17</v>
          </cell>
          <cell r="O28" t="str">
            <v>{{1,363}|{2,72}|{3,2272}|{4,600}|{5,15000}|{6,9000}|{7,0}|{8,10000}|{9,10000}|{10,3622}|{11,0}|{12,0}}</v>
          </cell>
          <cell r="P28">
            <v>1200</v>
          </cell>
          <cell r="Q28">
            <v>600</v>
          </cell>
          <cell r="R28">
            <v>2393</v>
          </cell>
          <cell r="S28" t="str">
            <v>{20002,20001,20003,20004,20005,20006,20007}</v>
          </cell>
          <cell r="T28">
            <v>92000</v>
          </cell>
          <cell r="U28">
            <v>5</v>
          </cell>
        </row>
        <row r="28">
          <cell r="W28">
            <v>2000</v>
          </cell>
          <cell r="X28">
            <v>112000</v>
          </cell>
          <cell r="Y28">
            <v>1</v>
          </cell>
          <cell r="Z28" t="b">
            <v>1</v>
          </cell>
        </row>
        <row r="28">
          <cell r="AB28" t="str">
            <v>{220001,220002}</v>
          </cell>
          <cell r="AC28" t="str">
            <v>220001</v>
          </cell>
        </row>
        <row r="29">
          <cell r="A29">
            <v>2003</v>
          </cell>
          <cell r="B29" t="str">
            <v>山岭巨人</v>
          </cell>
          <cell r="C29">
            <v>3</v>
          </cell>
          <cell r="D29">
            <v>102003</v>
          </cell>
          <cell r="E29" t="str">
            <v>head_2003</v>
          </cell>
          <cell r="F29">
            <v>1</v>
          </cell>
          <cell r="G29">
            <v>5</v>
          </cell>
          <cell r="H29">
            <v>10</v>
          </cell>
          <cell r="I29">
            <v>1</v>
          </cell>
          <cell r="J29">
            <v>2</v>
          </cell>
          <cell r="K29">
            <v>1</v>
          </cell>
          <cell r="L29" t="str">
            <v>{3}</v>
          </cell>
          <cell r="M29" t="str">
            <v>skill3</v>
          </cell>
          <cell r="N29">
            <v>17</v>
          </cell>
          <cell r="O29" t="str">
            <v>{{1,254}|{2,109}|{3,3363}|{4,600}|{5,15000}|{6,9000}|{7,0}|{8,10000}|{9,10000}|{10,3623}|{11,0}|{12,0}}</v>
          </cell>
          <cell r="P29">
            <v>1000</v>
          </cell>
          <cell r="Q29">
            <v>300</v>
          </cell>
          <cell r="R29">
            <v>2393</v>
          </cell>
          <cell r="S29" t="str">
            <v>{20032,20031,20033,20034,20035}</v>
          </cell>
          <cell r="T29">
            <v>92003</v>
          </cell>
          <cell r="U29">
            <v>5</v>
          </cell>
        </row>
        <row r="29">
          <cell r="W29">
            <v>2003</v>
          </cell>
          <cell r="X29">
            <v>112003</v>
          </cell>
          <cell r="Y29">
            <v>1</v>
          </cell>
          <cell r="Z29" t="b">
            <v>1</v>
          </cell>
          <cell r="AA29" t="str">
            <v>yindao_sanxuanyi_kapai3</v>
          </cell>
          <cell r="AB29" t="str">
            <v>{220031,220032}</v>
          </cell>
          <cell r="AC29" t="str">
            <v>220031</v>
          </cell>
        </row>
        <row r="30">
          <cell r="A30">
            <v>2004</v>
          </cell>
          <cell r="B30" t="str">
            <v>沙罗曼蛇</v>
          </cell>
          <cell r="C30">
            <v>3</v>
          </cell>
          <cell r="D30">
            <v>102004</v>
          </cell>
          <cell r="E30" t="str">
            <v>head_2004</v>
          </cell>
          <cell r="F30">
            <v>1</v>
          </cell>
          <cell r="G30">
            <v>5</v>
          </cell>
          <cell r="H30">
            <v>10</v>
          </cell>
          <cell r="I30">
            <v>2</v>
          </cell>
          <cell r="J30">
            <v>3</v>
          </cell>
          <cell r="K30">
            <v>2</v>
          </cell>
          <cell r="L30" t="str">
            <v>{2,6}</v>
          </cell>
          <cell r="M30" t="str">
            <v>skill3</v>
          </cell>
          <cell r="N30">
            <v>17</v>
          </cell>
          <cell r="O30" t="str">
            <v>{{1,281}|{2,81}|{3,2727}|{4,600}|{5,15000}|{6,9000}|{7,0}|{8,10000}|{9,10000}|{10,3622}|{11,0}|{12,0}}</v>
          </cell>
          <cell r="P30">
            <v>1200</v>
          </cell>
          <cell r="Q30">
            <v>600</v>
          </cell>
          <cell r="R30">
            <v>2393</v>
          </cell>
          <cell r="S30" t="str">
            <v>{20042,20041,20043,20044,20045}</v>
          </cell>
          <cell r="T30">
            <v>92004</v>
          </cell>
          <cell r="U30">
            <v>6</v>
          </cell>
        </row>
        <row r="30">
          <cell r="W30">
            <v>2004</v>
          </cell>
          <cell r="X30">
            <v>112004</v>
          </cell>
          <cell r="Y30">
            <v>1</v>
          </cell>
          <cell r="Z30" t="b">
            <v>1</v>
          </cell>
        </row>
        <row r="30">
          <cell r="AB30" t="str">
            <v>{220041,220042}</v>
          </cell>
          <cell r="AC30" t="str">
            <v>220041</v>
          </cell>
        </row>
        <row r="31">
          <cell r="A31">
            <v>2005</v>
          </cell>
          <cell r="B31" t="str">
            <v>石化蜥蜴</v>
          </cell>
          <cell r="C31">
            <v>3</v>
          </cell>
          <cell r="D31">
            <v>102005</v>
          </cell>
          <cell r="E31" t="str">
            <v>head_2005</v>
          </cell>
          <cell r="F31">
            <v>1</v>
          </cell>
          <cell r="G31">
            <v>5</v>
          </cell>
          <cell r="H31">
            <v>10</v>
          </cell>
          <cell r="I31">
            <v>1</v>
          </cell>
          <cell r="J31">
            <v>2</v>
          </cell>
          <cell r="K31">
            <v>2</v>
          </cell>
          <cell r="L31" t="str">
            <v>{7}</v>
          </cell>
          <cell r="M31" t="str">
            <v>skill3</v>
          </cell>
          <cell r="N31">
            <v>17</v>
          </cell>
          <cell r="O31" t="str">
            <v>{{1,254}|{2,109}|{3,3363}|{4,600}|{5,15000}|{6,9000}|{7,0}|{8,10000}|{9,10000}|{10,3623}|{11,0}|{12,0}}</v>
          </cell>
          <cell r="P31">
            <v>1000</v>
          </cell>
          <cell r="Q31">
            <v>300</v>
          </cell>
          <cell r="R31">
            <v>2393</v>
          </cell>
          <cell r="S31" t="str">
            <v>{20052,20051,20053,20054,20055}</v>
          </cell>
          <cell r="T31">
            <v>92005</v>
          </cell>
          <cell r="U31">
            <v>6</v>
          </cell>
        </row>
        <row r="31">
          <cell r="W31">
            <v>2005</v>
          </cell>
          <cell r="X31">
            <v>112005</v>
          </cell>
          <cell r="Y31">
            <v>1</v>
          </cell>
          <cell r="Z31" t="b">
            <v>1</v>
          </cell>
        </row>
        <row r="31">
          <cell r="AB31" t="str">
            <v>{220051,220052}</v>
          </cell>
          <cell r="AC31" t="str">
            <v>220051</v>
          </cell>
        </row>
        <row r="32">
          <cell r="A32">
            <v>2010</v>
          </cell>
          <cell r="B32" t="str">
            <v>夏获</v>
          </cell>
          <cell r="C32">
            <v>3</v>
          </cell>
          <cell r="D32">
            <v>102010</v>
          </cell>
          <cell r="E32" t="str">
            <v>head_2010</v>
          </cell>
          <cell r="F32">
            <v>1</v>
          </cell>
          <cell r="G32">
            <v>5</v>
          </cell>
          <cell r="H32">
            <v>10</v>
          </cell>
          <cell r="I32">
            <v>2</v>
          </cell>
          <cell r="J32">
            <v>4</v>
          </cell>
          <cell r="K32">
            <v>3</v>
          </cell>
          <cell r="L32" t="str">
            <v>{2}</v>
          </cell>
          <cell r="M32" t="str">
            <v>skill3</v>
          </cell>
          <cell r="N32">
            <v>17</v>
          </cell>
          <cell r="O32" t="str">
            <v>{{1,363}|{2,72}|{3,2272}|{4,600}|{5,15000}|{6,9000}|{7,0}|{8,10000}|{9,10000}|{10,3622}|{11,0}|{12,0}}</v>
          </cell>
          <cell r="P32">
            <v>1000</v>
          </cell>
          <cell r="Q32">
            <v>600</v>
          </cell>
          <cell r="R32">
            <v>2393</v>
          </cell>
          <cell r="S32" t="str">
            <v>{20102,20101,20103,20104,20105}</v>
          </cell>
          <cell r="T32">
            <v>92010</v>
          </cell>
          <cell r="U32">
            <v>7</v>
          </cell>
        </row>
        <row r="32">
          <cell r="W32">
            <v>2010</v>
          </cell>
          <cell r="X32">
            <v>112010</v>
          </cell>
          <cell r="Y32">
            <v>1</v>
          </cell>
          <cell r="Z32" t="b">
            <v>1</v>
          </cell>
          <cell r="AA32" t="str">
            <v>yindao_sanxuanyi_kapai1</v>
          </cell>
          <cell r="AB32" t="str">
            <v>{220101,220102}</v>
          </cell>
          <cell r="AC32" t="str">
            <v>220101</v>
          </cell>
        </row>
        <row r="32">
          <cell r="AG32">
            <v>771008</v>
          </cell>
        </row>
        <row r="33">
          <cell r="A33">
            <v>2011</v>
          </cell>
          <cell r="B33" t="str">
            <v>猫又</v>
          </cell>
          <cell r="C33">
            <v>3</v>
          </cell>
          <cell r="D33">
            <v>102011</v>
          </cell>
          <cell r="E33" t="str">
            <v>head_2011</v>
          </cell>
          <cell r="F33">
            <v>1</v>
          </cell>
          <cell r="G33">
            <v>5</v>
          </cell>
          <cell r="H33">
            <v>10</v>
          </cell>
          <cell r="I33">
            <v>1</v>
          </cell>
          <cell r="J33">
            <v>1</v>
          </cell>
          <cell r="K33">
            <v>2</v>
          </cell>
          <cell r="L33" t="str">
            <v>{2}</v>
          </cell>
          <cell r="M33" t="str">
            <v>skill3</v>
          </cell>
          <cell r="N33">
            <v>17</v>
          </cell>
          <cell r="O33" t="str">
            <v>{{1,454}|{2,90}|{3,2272}|{4,600}|{5,15000}|{6,9000}|{7,0}|{8,10000}|{9,10000}|{10,3623}|{11,0}|{12,0}}</v>
          </cell>
          <cell r="P33">
            <v>1000</v>
          </cell>
          <cell r="Q33">
            <v>300</v>
          </cell>
          <cell r="R33">
            <v>2393</v>
          </cell>
          <cell r="S33" t="str">
            <v>{20112,20111,20113,20114,20115}</v>
          </cell>
          <cell r="T33">
            <v>92011</v>
          </cell>
          <cell r="U33">
            <v>6</v>
          </cell>
        </row>
        <row r="33">
          <cell r="W33">
            <v>2011</v>
          </cell>
          <cell r="X33">
            <v>112011</v>
          </cell>
          <cell r="Y33">
            <v>1</v>
          </cell>
          <cell r="Z33" t="b">
            <v>1</v>
          </cell>
          <cell r="AA33" t="str">
            <v>yindao_sanxuanyi_kapai2</v>
          </cell>
          <cell r="AB33" t="str">
            <v>{220111,220112}</v>
          </cell>
          <cell r="AC33" t="str">
            <v>220111</v>
          </cell>
        </row>
        <row r="34">
          <cell r="A34">
            <v>2012</v>
          </cell>
          <cell r="B34" t="str">
            <v>狂猎</v>
          </cell>
          <cell r="C34">
            <v>3</v>
          </cell>
          <cell r="D34">
            <v>102012</v>
          </cell>
          <cell r="E34" t="str">
            <v>head_2012</v>
          </cell>
          <cell r="F34">
            <v>1</v>
          </cell>
          <cell r="G34">
            <v>5</v>
          </cell>
          <cell r="H34">
            <v>10</v>
          </cell>
          <cell r="I34">
            <v>1</v>
          </cell>
          <cell r="J34">
            <v>2</v>
          </cell>
          <cell r="K34">
            <v>2</v>
          </cell>
          <cell r="L34" t="str">
            <v>{3}</v>
          </cell>
          <cell r="M34" t="str">
            <v>skill3</v>
          </cell>
          <cell r="N34">
            <v>17</v>
          </cell>
          <cell r="O34" t="str">
            <v>{{1,254}|{2,109}|{3,3363}|{4,600}|{5,15000}|{6,9000}|{7,0}|{8,10000}|{9,10000}|{10,3623}|{11,0}|{12,0}}</v>
          </cell>
          <cell r="P34">
            <v>1000</v>
          </cell>
          <cell r="Q34">
            <v>300</v>
          </cell>
          <cell r="R34">
            <v>2393</v>
          </cell>
          <cell r="S34" t="str">
            <v>{20122,20121,20123,20124,20125}</v>
          </cell>
          <cell r="T34">
            <v>92012</v>
          </cell>
          <cell r="U34">
            <v>6</v>
          </cell>
        </row>
        <row r="34">
          <cell r="W34">
            <v>2012</v>
          </cell>
          <cell r="X34">
            <v>112012</v>
          </cell>
          <cell r="Y34">
            <v>1</v>
          </cell>
          <cell r="Z34" t="b">
            <v>1</v>
          </cell>
        </row>
        <row r="34">
          <cell r="AB34" t="str">
            <v>{220121,220122}</v>
          </cell>
          <cell r="AC34" t="str">
            <v>220121</v>
          </cell>
        </row>
        <row r="35">
          <cell r="A35">
            <v>2016</v>
          </cell>
          <cell r="B35" t="str">
            <v>剑齿虎</v>
          </cell>
          <cell r="C35">
            <v>3</v>
          </cell>
          <cell r="D35">
            <v>102016</v>
          </cell>
          <cell r="E35" t="str">
            <v>head_2016</v>
          </cell>
          <cell r="F35">
            <v>1</v>
          </cell>
          <cell r="G35">
            <v>5</v>
          </cell>
          <cell r="H35">
            <v>10</v>
          </cell>
          <cell r="I35">
            <v>1</v>
          </cell>
          <cell r="J35">
            <v>1</v>
          </cell>
          <cell r="K35">
            <v>1</v>
          </cell>
          <cell r="L35" t="str">
            <v>{2}</v>
          </cell>
          <cell r="M35" t="str">
            <v>skill3</v>
          </cell>
          <cell r="N35">
            <v>17</v>
          </cell>
          <cell r="O35" t="str">
            <v>{{1,454}|{2,90}|{3,2272}|{4,600}|{5,15000}|{6,9000}|{7,0}|{8,10000}|{9,10000}|{10,3623}|{11,0}|{12,0}}</v>
          </cell>
          <cell r="P35">
            <v>1000</v>
          </cell>
          <cell r="Q35">
            <v>300</v>
          </cell>
          <cell r="R35">
            <v>2393</v>
          </cell>
          <cell r="S35" t="str">
            <v>{20162,20161,20163,20164,20165,20166,20167}</v>
          </cell>
          <cell r="T35">
            <v>92016</v>
          </cell>
          <cell r="U35">
            <v>5</v>
          </cell>
        </row>
        <row r="35">
          <cell r="W35">
            <v>2016</v>
          </cell>
          <cell r="X35">
            <v>112016</v>
          </cell>
          <cell r="Y35">
            <v>1</v>
          </cell>
          <cell r="Z35" t="b">
            <v>1</v>
          </cell>
        </row>
        <row r="35">
          <cell r="AB35" t="str">
            <v>{220161,220162}</v>
          </cell>
          <cell r="AC35" t="str">
            <v>220161</v>
          </cell>
        </row>
        <row r="36">
          <cell r="A36">
            <v>3000</v>
          </cell>
          <cell r="B36" t="str">
            <v>迪亚波</v>
          </cell>
          <cell r="C36">
            <v>3</v>
          </cell>
          <cell r="D36">
            <v>103000</v>
          </cell>
          <cell r="E36" t="str">
            <v>head_3000</v>
          </cell>
          <cell r="F36">
            <v>1</v>
          </cell>
          <cell r="G36">
            <v>5</v>
          </cell>
          <cell r="H36">
            <v>10</v>
          </cell>
          <cell r="I36">
            <v>1</v>
          </cell>
          <cell r="J36">
            <v>2</v>
          </cell>
          <cell r="K36">
            <v>4</v>
          </cell>
          <cell r="L36" t="str">
            <v>{2,7}</v>
          </cell>
          <cell r="M36" t="str">
            <v>skill3</v>
          </cell>
          <cell r="N36">
            <v>17</v>
          </cell>
          <cell r="O36" t="str">
            <v>{{1,254}|{2,109}|{3,3363}|{4,600}|{5,15000}|{6,9000}|{7,0}|{8,10000}|{9,10000}|{10,3623}|{11,0}|{12,0}}</v>
          </cell>
          <cell r="P36">
            <v>1000</v>
          </cell>
          <cell r="Q36">
            <v>300</v>
          </cell>
          <cell r="R36">
            <v>2393</v>
          </cell>
          <cell r="S36" t="str">
            <v>{30002,30001,30003,30004,30005}</v>
          </cell>
          <cell r="T36">
            <v>93000</v>
          </cell>
          <cell r="U36">
            <v>8</v>
          </cell>
        </row>
        <row r="36">
          <cell r="W36">
            <v>3000</v>
          </cell>
          <cell r="X36">
            <v>113000</v>
          </cell>
          <cell r="Y36">
            <v>1</v>
          </cell>
          <cell r="Z36" t="b">
            <v>1</v>
          </cell>
        </row>
        <row r="36">
          <cell r="AB36" t="str">
            <v>{230001,230002,230003}</v>
          </cell>
          <cell r="AC36" t="str">
            <v>230001</v>
          </cell>
        </row>
        <row r="37">
          <cell r="A37">
            <v>3001</v>
          </cell>
          <cell r="B37" t="str">
            <v>魅魔</v>
          </cell>
          <cell r="C37">
            <v>3</v>
          </cell>
          <cell r="D37">
            <v>103001</v>
          </cell>
          <cell r="E37" t="str">
            <v>head_3001</v>
          </cell>
          <cell r="F37">
            <v>1</v>
          </cell>
          <cell r="G37">
            <v>5</v>
          </cell>
          <cell r="H37">
            <v>10</v>
          </cell>
          <cell r="I37">
            <v>1</v>
          </cell>
          <cell r="J37">
            <v>1</v>
          </cell>
          <cell r="K37">
            <v>4</v>
          </cell>
          <cell r="L37" t="str">
            <v>{7}</v>
          </cell>
          <cell r="M37" t="str">
            <v>skill3</v>
          </cell>
          <cell r="N37">
            <v>17</v>
          </cell>
          <cell r="O37" t="str">
            <v>{{1,454}|{2,90}|{3,2272}|{4,600}|{5,15000}|{6,9000}|{7,0}|{8,10000}|{9,10000}|{10,3623}|{11,0}|{12,0}}</v>
          </cell>
          <cell r="P37">
            <v>1000</v>
          </cell>
          <cell r="Q37">
            <v>300</v>
          </cell>
          <cell r="R37">
            <v>2393</v>
          </cell>
          <cell r="S37" t="str">
            <v>{30012,30011,30013,30014,30015,30016}</v>
          </cell>
          <cell r="T37">
            <v>93001</v>
          </cell>
          <cell r="U37">
            <v>8</v>
          </cell>
        </row>
        <row r="37">
          <cell r="W37">
            <v>3001</v>
          </cell>
          <cell r="X37">
            <v>113001</v>
          </cell>
          <cell r="Y37">
            <v>1</v>
          </cell>
          <cell r="Z37" t="b">
            <v>1</v>
          </cell>
        </row>
        <row r="37">
          <cell r="AB37" t="str">
            <v>{230011,230012,230013}</v>
          </cell>
          <cell r="AC37" t="str">
            <v>230011</v>
          </cell>
        </row>
        <row r="37">
          <cell r="AG37">
            <v>771009</v>
          </cell>
        </row>
        <row r="38">
          <cell r="A38">
            <v>3003</v>
          </cell>
          <cell r="B38" t="str">
            <v>缀枝</v>
          </cell>
          <cell r="C38">
            <v>3</v>
          </cell>
          <cell r="D38">
            <v>103003</v>
          </cell>
          <cell r="E38" t="str">
            <v>head_3003</v>
          </cell>
          <cell r="F38">
            <v>1</v>
          </cell>
          <cell r="G38">
            <v>5</v>
          </cell>
          <cell r="H38">
            <v>10</v>
          </cell>
          <cell r="I38">
            <v>1</v>
          </cell>
          <cell r="J38">
            <v>1</v>
          </cell>
          <cell r="K38">
            <v>3</v>
          </cell>
          <cell r="L38" t="str">
            <v>{7}</v>
          </cell>
          <cell r="M38" t="str">
            <v>skill3</v>
          </cell>
          <cell r="N38">
            <v>17</v>
          </cell>
          <cell r="O38" t="str">
            <v>{{1,454}|{2,90}|{3,2272}|{4,600}|{5,15000}|{6,9000}|{7,0}|{8,10000}|{9,10000}|{10,3623}|{11,0}|{12,0}}</v>
          </cell>
          <cell r="P38">
            <v>1000</v>
          </cell>
          <cell r="Q38">
            <v>300</v>
          </cell>
          <cell r="R38">
            <v>2393</v>
          </cell>
          <cell r="S38" t="str">
            <v>{30032,30031,30033,30034,30035}</v>
          </cell>
          <cell r="T38">
            <v>93003</v>
          </cell>
          <cell r="U38">
            <v>7</v>
          </cell>
        </row>
        <row r="38">
          <cell r="W38">
            <v>3003</v>
          </cell>
          <cell r="X38">
            <v>113003</v>
          </cell>
          <cell r="Y38">
            <v>1</v>
          </cell>
          <cell r="Z38" t="b">
            <v>1</v>
          </cell>
        </row>
        <row r="38">
          <cell r="AB38" t="str">
            <v>{230031,230032,230033}</v>
          </cell>
          <cell r="AC38" t="str">
            <v>230031</v>
          </cell>
        </row>
        <row r="38">
          <cell r="AG38">
            <v>771005</v>
          </cell>
        </row>
        <row r="39">
          <cell r="A39">
            <v>3004</v>
          </cell>
          <cell r="B39" t="str">
            <v>修罗面</v>
          </cell>
          <cell r="C39">
            <v>3</v>
          </cell>
          <cell r="D39">
            <v>103004</v>
          </cell>
          <cell r="E39" t="str">
            <v>head_3004</v>
          </cell>
          <cell r="F39">
            <v>1</v>
          </cell>
          <cell r="G39">
            <v>5</v>
          </cell>
          <cell r="H39">
            <v>10</v>
          </cell>
          <cell r="I39">
            <v>2</v>
          </cell>
          <cell r="J39">
            <v>4</v>
          </cell>
          <cell r="K39">
            <v>4</v>
          </cell>
          <cell r="L39" t="str">
            <v>{2}</v>
          </cell>
          <cell r="M39" t="str">
            <v>skill3</v>
          </cell>
          <cell r="N39">
            <v>17</v>
          </cell>
          <cell r="O39" t="str">
            <v>{{1,363}|{2,72}|{3,2272}|{4,600}|{5,15000}|{6,9000}|{7,0}|{8,10000}|{9,10000}|{10,3622}|{11,0}|{12,0}}</v>
          </cell>
          <cell r="P39">
            <v>1200</v>
          </cell>
          <cell r="Q39">
            <v>600</v>
          </cell>
          <cell r="R39">
            <v>2393</v>
          </cell>
          <cell r="S39" t="str">
            <v>{30042,30041,30043,30044,30045,30046,30047,30048,30049,30050}</v>
          </cell>
          <cell r="T39">
            <v>93004</v>
          </cell>
          <cell r="U39">
            <v>8</v>
          </cell>
        </row>
        <row r="39">
          <cell r="W39">
            <v>3004</v>
          </cell>
          <cell r="X39">
            <v>113004</v>
          </cell>
          <cell r="Y39">
            <v>1</v>
          </cell>
          <cell r="Z39" t="b">
            <v>1</v>
          </cell>
        </row>
        <row r="39">
          <cell r="AB39" t="str">
            <v>{230041,230042,230043}</v>
          </cell>
          <cell r="AC39" t="str">
            <v>230041</v>
          </cell>
        </row>
        <row r="40">
          <cell r="A40">
            <v>3005</v>
          </cell>
          <cell r="B40" t="str">
            <v>络新妇</v>
          </cell>
          <cell r="C40">
            <v>3</v>
          </cell>
          <cell r="D40">
            <v>103005</v>
          </cell>
          <cell r="E40" t="str">
            <v>head_3005</v>
          </cell>
          <cell r="F40">
            <v>1</v>
          </cell>
          <cell r="G40">
            <v>5</v>
          </cell>
          <cell r="H40">
            <v>10</v>
          </cell>
          <cell r="I40">
            <v>1</v>
          </cell>
          <cell r="J40">
            <v>1</v>
          </cell>
          <cell r="K40">
            <v>4</v>
          </cell>
          <cell r="L40" t="str">
            <v>{7}</v>
          </cell>
          <cell r="M40" t="str">
            <v>skill3</v>
          </cell>
          <cell r="N40">
            <v>17</v>
          </cell>
          <cell r="O40" t="str">
            <v>{{1,454}|{2,90}|{3,2272}|{4,600}|{5,15000}|{6,9000}|{7,0}|{8,10000}|{9,10000}|{10,3623}|{11,0}|{12,0}}</v>
          </cell>
          <cell r="P40">
            <v>1000</v>
          </cell>
          <cell r="Q40">
            <v>300</v>
          </cell>
          <cell r="R40">
            <v>2393</v>
          </cell>
          <cell r="S40" t="str">
            <v>{30052,30051,30053,30054,30055}</v>
          </cell>
          <cell r="T40">
            <v>93005</v>
          </cell>
          <cell r="U40">
            <v>8</v>
          </cell>
        </row>
        <row r="40">
          <cell r="W40">
            <v>3005</v>
          </cell>
          <cell r="X40">
            <v>113005</v>
          </cell>
          <cell r="Y40">
            <v>1</v>
          </cell>
          <cell r="Z40" t="b">
            <v>1</v>
          </cell>
        </row>
        <row r="40">
          <cell r="AB40" t="str">
            <v>{230051,230052,230053}</v>
          </cell>
          <cell r="AC40" t="str">
            <v>230051</v>
          </cell>
        </row>
        <row r="40">
          <cell r="AG40">
            <v>771006</v>
          </cell>
        </row>
        <row r="41">
          <cell r="A41">
            <v>3006</v>
          </cell>
          <cell r="B41" t="str">
            <v>海妖</v>
          </cell>
          <cell r="C41">
            <v>3</v>
          </cell>
          <cell r="D41">
            <v>103006</v>
          </cell>
          <cell r="E41" t="str">
            <v>head_3006</v>
          </cell>
          <cell r="F41">
            <v>1</v>
          </cell>
          <cell r="G41">
            <v>5</v>
          </cell>
          <cell r="H41">
            <v>10</v>
          </cell>
          <cell r="I41">
            <v>1</v>
          </cell>
          <cell r="J41">
            <v>2</v>
          </cell>
          <cell r="K41">
            <v>3</v>
          </cell>
          <cell r="L41" t="str">
            <v>{5}</v>
          </cell>
          <cell r="M41" t="str">
            <v>skill3</v>
          </cell>
          <cell r="N41">
            <v>17</v>
          </cell>
          <cell r="O41" t="str">
            <v>{{1,254}|{2,109}|{3,3363}|{4,600}|{5,15000}|{6,9000}|{7,0}|{8,10000}|{9,10000}|{10,3623}|{11,0}|{12,0}}</v>
          </cell>
          <cell r="P41">
            <v>1000</v>
          </cell>
          <cell r="Q41">
            <v>300</v>
          </cell>
          <cell r="R41">
            <v>2393</v>
          </cell>
          <cell r="S41" t="str">
            <v>{30062,30061,30063,30064,30065}</v>
          </cell>
          <cell r="T41">
            <v>93006</v>
          </cell>
          <cell r="U41">
            <v>7</v>
          </cell>
        </row>
        <row r="41">
          <cell r="W41">
            <v>3006</v>
          </cell>
          <cell r="X41">
            <v>113006</v>
          </cell>
          <cell r="Y41">
            <v>1</v>
          </cell>
          <cell r="Z41" t="b">
            <v>1</v>
          </cell>
        </row>
        <row r="41">
          <cell r="AB41" t="str">
            <v>{230061,230062,230063}</v>
          </cell>
          <cell r="AC41" t="str">
            <v>230061</v>
          </cell>
        </row>
        <row r="41">
          <cell r="AG41">
            <v>771004</v>
          </cell>
        </row>
        <row r="42">
          <cell r="A42">
            <v>3008</v>
          </cell>
          <cell r="B42" t="str">
            <v>熔焰</v>
          </cell>
          <cell r="C42">
            <v>3</v>
          </cell>
          <cell r="D42">
            <v>103008</v>
          </cell>
          <cell r="E42" t="str">
            <v>head_3008</v>
          </cell>
          <cell r="F42">
            <v>1</v>
          </cell>
          <cell r="G42">
            <v>5</v>
          </cell>
          <cell r="H42">
            <v>10</v>
          </cell>
          <cell r="I42">
            <v>2</v>
          </cell>
          <cell r="J42">
            <v>4</v>
          </cell>
          <cell r="K42">
            <v>1</v>
          </cell>
          <cell r="L42" t="str">
            <v>{2}</v>
          </cell>
          <cell r="M42" t="str">
            <v>skill3</v>
          </cell>
          <cell r="N42">
            <v>17</v>
          </cell>
          <cell r="O42" t="str">
            <v>{{1,363}|{2,72}|{3,2272}|{4,600}|{5,15000}|{6,9000}|{7,0}|{8,10000}|{9,10000}|{10,3622}|{11,0}|{12,0}}</v>
          </cell>
          <cell r="P42">
            <v>1200</v>
          </cell>
          <cell r="Q42">
            <v>600</v>
          </cell>
          <cell r="R42">
            <v>2393</v>
          </cell>
          <cell r="S42" t="str">
            <v>{30082,30081,30083,30084,30085}</v>
          </cell>
          <cell r="T42">
            <v>93008</v>
          </cell>
          <cell r="U42">
            <v>5</v>
          </cell>
          <cell r="V42">
            <v>11</v>
          </cell>
          <cell r="W42">
            <v>3008</v>
          </cell>
          <cell r="X42">
            <v>113008</v>
          </cell>
          <cell r="Y42">
            <v>1</v>
          </cell>
          <cell r="Z42" t="b">
            <v>1</v>
          </cell>
        </row>
        <row r="42">
          <cell r="AB42" t="str">
            <v>{230081,230082,230083}</v>
          </cell>
          <cell r="AC42" t="str">
            <v>230081</v>
          </cell>
        </row>
        <row r="43">
          <cell r="A43">
            <v>3009</v>
          </cell>
          <cell r="B43" t="str">
            <v>辉光</v>
          </cell>
          <cell r="C43">
            <v>3</v>
          </cell>
          <cell r="D43">
            <v>103009</v>
          </cell>
          <cell r="E43" t="str">
            <v>head_3009</v>
          </cell>
          <cell r="F43">
            <v>1</v>
          </cell>
          <cell r="G43">
            <v>5</v>
          </cell>
          <cell r="H43">
            <v>10</v>
          </cell>
          <cell r="I43">
            <v>2</v>
          </cell>
          <cell r="J43">
            <v>3</v>
          </cell>
          <cell r="K43">
            <v>1</v>
          </cell>
          <cell r="L43" t="str">
            <v>{2}</v>
          </cell>
          <cell r="M43" t="str">
            <v>skill3</v>
          </cell>
          <cell r="N43">
            <v>17</v>
          </cell>
          <cell r="O43" t="str">
            <v>{{1,281}|{2,81}|{3,2727}|{4,600}|{5,15000}|{6,9000}|{7,0}|{8,10000}|{9,10000}|{10,3622}|{11,0}|{12,0}}</v>
          </cell>
          <cell r="P43">
            <v>1000</v>
          </cell>
          <cell r="Q43">
            <v>600</v>
          </cell>
          <cell r="R43">
            <v>2393</v>
          </cell>
          <cell r="S43" t="str">
            <v>{30092,30091,30093,30094,30095}</v>
          </cell>
          <cell r="T43">
            <v>93009</v>
          </cell>
          <cell r="U43">
            <v>5</v>
          </cell>
        </row>
        <row r="43">
          <cell r="W43">
            <v>3009</v>
          </cell>
          <cell r="X43">
            <v>113009</v>
          </cell>
          <cell r="Y43">
            <v>1</v>
          </cell>
          <cell r="Z43" t="b">
            <v>1</v>
          </cell>
        </row>
        <row r="43">
          <cell r="AB43" t="str">
            <v>{230091,230092,230093}</v>
          </cell>
          <cell r="AC43" t="str">
            <v>230091</v>
          </cell>
        </row>
        <row r="44">
          <cell r="A44">
            <v>3013</v>
          </cell>
          <cell r="B44" t="str">
            <v>独角兽</v>
          </cell>
          <cell r="C44">
            <v>3</v>
          </cell>
          <cell r="D44">
            <v>103013</v>
          </cell>
          <cell r="E44" t="str">
            <v>head_3013</v>
          </cell>
          <cell r="F44">
            <v>1</v>
          </cell>
          <cell r="G44">
            <v>5</v>
          </cell>
          <cell r="H44">
            <v>10</v>
          </cell>
          <cell r="I44">
            <v>1</v>
          </cell>
          <cell r="J44">
            <v>1</v>
          </cell>
          <cell r="K44">
            <v>1</v>
          </cell>
          <cell r="L44" t="str">
            <v>{4}</v>
          </cell>
          <cell r="M44" t="str">
            <v>skill3</v>
          </cell>
          <cell r="N44">
            <v>17</v>
          </cell>
          <cell r="O44" t="str">
            <v>{{1,454}|{2,90}|{3,2272}|{4,600}|{5,15000}|{6,9000}|{7,0}|{8,10000}|{9,10000}|{10,3623}|{11,0}|{12,0}}</v>
          </cell>
          <cell r="P44">
            <v>1200</v>
          </cell>
          <cell r="Q44">
            <v>300</v>
          </cell>
          <cell r="R44">
            <v>2393</v>
          </cell>
          <cell r="S44" t="str">
            <v>{30132,30131,30133,30134,30135}</v>
          </cell>
          <cell r="T44">
            <v>93013</v>
          </cell>
          <cell r="U44">
            <v>5</v>
          </cell>
        </row>
        <row r="44">
          <cell r="W44">
            <v>3013</v>
          </cell>
          <cell r="X44">
            <v>113013</v>
          </cell>
          <cell r="Y44">
            <v>1</v>
          </cell>
          <cell r="Z44" t="b">
            <v>1</v>
          </cell>
        </row>
        <row r="44">
          <cell r="AB44" t="str">
            <v>{230131,230132,230133}</v>
          </cell>
          <cell r="AC44" t="str">
            <v>230131</v>
          </cell>
        </row>
        <row r="45">
          <cell r="A45">
            <v>3015</v>
          </cell>
          <cell r="B45" t="str">
            <v>古树精</v>
          </cell>
          <cell r="C45">
            <v>3</v>
          </cell>
          <cell r="D45">
            <v>103015</v>
          </cell>
          <cell r="E45" t="str">
            <v>head_3015</v>
          </cell>
          <cell r="F45">
            <v>1</v>
          </cell>
          <cell r="G45">
            <v>5</v>
          </cell>
          <cell r="H45">
            <v>10</v>
          </cell>
          <cell r="I45">
            <v>1</v>
          </cell>
          <cell r="J45">
            <v>2</v>
          </cell>
          <cell r="K45">
            <v>1</v>
          </cell>
          <cell r="L45" t="str">
            <v>{3}</v>
          </cell>
          <cell r="M45" t="str">
            <v>skill3</v>
          </cell>
          <cell r="N45">
            <v>17</v>
          </cell>
          <cell r="O45" t="str">
            <v>{{1,254}|{2,109}|{3,3363}|{4,600}|{5,15000}|{6,9000}|{7,0}|{8,10000}|{9,10000}|{10,3623}|{11,0}|{12,0}}</v>
          </cell>
          <cell r="P45">
            <v>1000</v>
          </cell>
          <cell r="Q45">
            <v>300</v>
          </cell>
          <cell r="R45">
            <v>2393</v>
          </cell>
          <cell r="S45" t="str">
            <v>{30152,30151,30153,30154,30155}</v>
          </cell>
          <cell r="T45">
            <v>93015</v>
          </cell>
          <cell r="U45">
            <v>5</v>
          </cell>
        </row>
        <row r="45">
          <cell r="W45">
            <v>3015</v>
          </cell>
          <cell r="X45">
            <v>113015</v>
          </cell>
          <cell r="Y45">
            <v>1</v>
          </cell>
          <cell r="Z45" t="b">
            <v>1</v>
          </cell>
        </row>
        <row r="45">
          <cell r="AB45" t="str">
            <v>{230151,230152,230153}</v>
          </cell>
          <cell r="AC45" t="str">
            <v>230151</v>
          </cell>
        </row>
        <row r="45">
          <cell r="AG45">
            <v>1472</v>
          </cell>
        </row>
        <row r="46">
          <cell r="A46">
            <v>3016</v>
          </cell>
          <cell r="B46" t="str">
            <v>佩利冬</v>
          </cell>
          <cell r="C46">
            <v>3</v>
          </cell>
          <cell r="D46">
            <v>103016</v>
          </cell>
          <cell r="E46" t="str">
            <v>head_3016</v>
          </cell>
          <cell r="F46">
            <v>1</v>
          </cell>
          <cell r="G46">
            <v>5</v>
          </cell>
          <cell r="H46">
            <v>10</v>
          </cell>
          <cell r="I46">
            <v>2</v>
          </cell>
          <cell r="J46">
            <v>3</v>
          </cell>
          <cell r="K46">
            <v>2</v>
          </cell>
          <cell r="L46" t="str">
            <v>{1,2}</v>
          </cell>
          <cell r="M46" t="str">
            <v>skill3</v>
          </cell>
          <cell r="N46">
            <v>17</v>
          </cell>
          <cell r="O46" t="str">
            <v>{{1,281}|{2,81}|{3,2727}|{4,600}|{5,15000}|{6,9000}|{7,0}|{8,10000}|{9,10000}|{10,3622}|{11,0}|{12,0}}</v>
          </cell>
          <cell r="P46">
            <v>1000</v>
          </cell>
          <cell r="Q46">
            <v>600</v>
          </cell>
          <cell r="R46">
            <v>2393</v>
          </cell>
          <cell r="S46" t="str">
            <v>{30162,30161,30163,30164,30165}</v>
          </cell>
          <cell r="T46">
            <v>93016</v>
          </cell>
          <cell r="U46">
            <v>6</v>
          </cell>
        </row>
        <row r="46">
          <cell r="W46">
            <v>3016</v>
          </cell>
          <cell r="X46">
            <v>113016</v>
          </cell>
          <cell r="Y46">
            <v>1</v>
          </cell>
          <cell r="Z46" t="b">
            <v>1</v>
          </cell>
        </row>
        <row r="46">
          <cell r="AB46" t="str">
            <v>{230161,230162,230163}</v>
          </cell>
          <cell r="AC46" t="str">
            <v>230161</v>
          </cell>
        </row>
        <row r="46">
          <cell r="AG46">
            <v>1473</v>
          </cell>
        </row>
        <row r="47">
          <cell r="A47">
            <v>3017</v>
          </cell>
          <cell r="B47" t="str">
            <v>狮鹫</v>
          </cell>
          <cell r="C47">
            <v>3</v>
          </cell>
          <cell r="D47">
            <v>103017</v>
          </cell>
          <cell r="E47" t="str">
            <v>head_3017</v>
          </cell>
          <cell r="F47">
            <v>1</v>
          </cell>
          <cell r="G47">
            <v>5</v>
          </cell>
          <cell r="H47">
            <v>10</v>
          </cell>
          <cell r="I47">
            <v>2</v>
          </cell>
          <cell r="J47">
            <v>4</v>
          </cell>
          <cell r="K47">
            <v>2</v>
          </cell>
          <cell r="L47" t="str">
            <v>{1,2}</v>
          </cell>
          <cell r="M47" t="str">
            <v>skill3</v>
          </cell>
          <cell r="N47">
            <v>17</v>
          </cell>
          <cell r="O47" t="str">
            <v>{{1,363}|{2,72}|{3,2272}|{4,600}|{5,15000}|{6,9000}|{7,0}|{8,10000}|{9,10000}|{10,3622}|{11,0}|{12,0}}</v>
          </cell>
          <cell r="P47">
            <v>1000</v>
          </cell>
          <cell r="Q47">
            <v>600</v>
          </cell>
          <cell r="R47">
            <v>2393</v>
          </cell>
          <cell r="S47" t="str">
            <v>{30172,30171,30173,30174,30175}</v>
          </cell>
          <cell r="T47">
            <v>93017</v>
          </cell>
          <cell r="U47">
            <v>6</v>
          </cell>
        </row>
        <row r="47">
          <cell r="W47">
            <v>3017</v>
          </cell>
          <cell r="X47">
            <v>113017</v>
          </cell>
          <cell r="Y47">
            <v>1</v>
          </cell>
          <cell r="Z47" t="b">
            <v>1</v>
          </cell>
        </row>
        <row r="47">
          <cell r="AB47" t="str">
            <v>{230171,230172,230173}</v>
          </cell>
          <cell r="AC47" t="str">
            <v>230171</v>
          </cell>
        </row>
        <row r="48">
          <cell r="A48">
            <v>3019</v>
          </cell>
          <cell r="B48" t="str">
            <v>结晶龙</v>
          </cell>
          <cell r="C48">
            <v>3</v>
          </cell>
          <cell r="D48">
            <v>103019</v>
          </cell>
          <cell r="E48" t="str">
            <v>head_3019</v>
          </cell>
          <cell r="F48">
            <v>1</v>
          </cell>
          <cell r="G48">
            <v>5</v>
          </cell>
          <cell r="H48">
            <v>10</v>
          </cell>
          <cell r="I48">
            <v>1</v>
          </cell>
          <cell r="J48">
            <v>2</v>
          </cell>
          <cell r="K48">
            <v>2</v>
          </cell>
          <cell r="L48" t="str">
            <v>{3}</v>
          </cell>
          <cell r="M48" t="str">
            <v>skill3</v>
          </cell>
          <cell r="N48">
            <v>17</v>
          </cell>
          <cell r="O48" t="str">
            <v>{{1,254}|{2,109}|{3,3363}|{4,600}|{5,15000}|{6,9000}|{7,0}|{8,10000}|{9,10000}|{10,3623}|{11,0}|{12,0}}</v>
          </cell>
          <cell r="P48">
            <v>1000</v>
          </cell>
          <cell r="Q48">
            <v>300</v>
          </cell>
          <cell r="R48">
            <v>2393</v>
          </cell>
          <cell r="S48" t="str">
            <v>{30192,30191,30193,30194,30195}</v>
          </cell>
          <cell r="T48">
            <v>93019</v>
          </cell>
          <cell r="U48">
            <v>6</v>
          </cell>
        </row>
        <row r="48">
          <cell r="W48">
            <v>3019</v>
          </cell>
          <cell r="X48">
            <v>113019</v>
          </cell>
          <cell r="Y48">
            <v>1</v>
          </cell>
          <cell r="Z48" t="b">
            <v>1</v>
          </cell>
        </row>
        <row r="48">
          <cell r="AB48" t="str">
            <v>{230191,230192,230193}</v>
          </cell>
          <cell r="AC48" t="str">
            <v>230191</v>
          </cell>
        </row>
        <row r="49">
          <cell r="A49">
            <v>3021</v>
          </cell>
          <cell r="B49" t="str">
            <v>海魔女</v>
          </cell>
          <cell r="C49">
            <v>3</v>
          </cell>
          <cell r="D49">
            <v>103021</v>
          </cell>
          <cell r="E49" t="str">
            <v>head_3021</v>
          </cell>
          <cell r="F49">
            <v>1</v>
          </cell>
          <cell r="G49">
            <v>5</v>
          </cell>
          <cell r="H49">
            <v>10</v>
          </cell>
          <cell r="I49">
            <v>2</v>
          </cell>
          <cell r="J49">
            <v>4</v>
          </cell>
          <cell r="K49">
            <v>3</v>
          </cell>
          <cell r="L49" t="str">
            <v>{1,7}</v>
          </cell>
          <cell r="M49" t="str">
            <v>skill3</v>
          </cell>
          <cell r="N49">
            <v>17</v>
          </cell>
          <cell r="O49" t="str">
            <v>{{1,363}|{2,72}|{3,2272}|{4,600}|{5,15000}|{6,9000}|{7,0}|{8,10000}|{9,10000}|{10,3622}|{11,0}|{12,0}}</v>
          </cell>
          <cell r="P49">
            <v>1000</v>
          </cell>
          <cell r="Q49">
            <v>300</v>
          </cell>
          <cell r="R49">
            <v>2393</v>
          </cell>
          <cell r="S49" t="str">
            <v>{30212,30211,30213,30214,30215}</v>
          </cell>
          <cell r="T49">
            <v>93021</v>
          </cell>
          <cell r="U49">
            <v>7</v>
          </cell>
        </row>
        <row r="49">
          <cell r="W49">
            <v>3021</v>
          </cell>
          <cell r="X49">
            <v>113021</v>
          </cell>
          <cell r="Y49">
            <v>1</v>
          </cell>
          <cell r="Z49" t="b">
            <v>1</v>
          </cell>
        </row>
        <row r="49">
          <cell r="AB49" t="str">
            <v>{230211,230212,230213}</v>
          </cell>
          <cell r="AC49" t="str">
            <v>230211</v>
          </cell>
        </row>
        <row r="49">
          <cell r="AG49">
            <v>1474</v>
          </cell>
        </row>
        <row r="50">
          <cell r="A50">
            <v>4000</v>
          </cell>
          <cell r="B50" t="str">
            <v>哈提</v>
          </cell>
          <cell r="C50">
            <v>3</v>
          </cell>
          <cell r="D50">
            <v>104000</v>
          </cell>
          <cell r="E50" t="str">
            <v>head_4000</v>
          </cell>
          <cell r="F50">
            <v>1</v>
          </cell>
          <cell r="G50">
            <v>5</v>
          </cell>
          <cell r="H50">
            <v>10</v>
          </cell>
          <cell r="I50">
            <v>1</v>
          </cell>
          <cell r="J50">
            <v>2</v>
          </cell>
          <cell r="K50">
            <v>3</v>
          </cell>
          <cell r="L50" t="str">
            <v>{1,2}</v>
          </cell>
          <cell r="M50" t="str">
            <v>skill3</v>
          </cell>
          <cell r="N50">
            <v>17</v>
          </cell>
          <cell r="O50" t="str">
            <v>{{1,254}|{2,109}|{3,3363}|{4,600}|{5,15000}|{6,9000}|{7,0}|{8,10000}|{9,10000}|{10,3623}|{11,0}|{12,0}}</v>
          </cell>
          <cell r="P50">
            <v>1000</v>
          </cell>
          <cell r="Q50">
            <v>300</v>
          </cell>
          <cell r="R50">
            <v>2393</v>
          </cell>
          <cell r="S50" t="str">
            <v>{40002,40001,40003,40004,40005}</v>
          </cell>
          <cell r="T50">
            <v>94000</v>
          </cell>
          <cell r="U50">
            <v>7</v>
          </cell>
        </row>
        <row r="50">
          <cell r="W50">
            <v>4000</v>
          </cell>
          <cell r="X50">
            <v>114000</v>
          </cell>
          <cell r="Y50">
            <v>1</v>
          </cell>
          <cell r="Z50" t="b">
            <v>1</v>
          </cell>
        </row>
        <row r="50">
          <cell r="AB50" t="str">
            <v>{240001,240002,240003}</v>
          </cell>
          <cell r="AC50" t="str">
            <v>240001</v>
          </cell>
        </row>
        <row r="50">
          <cell r="AG50">
            <v>771006</v>
          </cell>
        </row>
        <row r="51">
          <cell r="A51">
            <v>4002</v>
          </cell>
          <cell r="B51" t="str">
            <v>炎刃</v>
          </cell>
          <cell r="C51">
            <v>3</v>
          </cell>
          <cell r="D51">
            <v>104002</v>
          </cell>
          <cell r="E51" t="str">
            <v>head_4002</v>
          </cell>
          <cell r="F51">
            <v>1</v>
          </cell>
          <cell r="G51">
            <v>5</v>
          </cell>
          <cell r="H51">
            <v>10</v>
          </cell>
          <cell r="I51">
            <v>1</v>
          </cell>
          <cell r="J51">
            <v>2</v>
          </cell>
          <cell r="K51">
            <v>4</v>
          </cell>
          <cell r="L51" t="str">
            <v>{2,7}</v>
          </cell>
          <cell r="M51" t="str">
            <v>skill3</v>
          </cell>
          <cell r="N51">
            <v>17</v>
          </cell>
          <cell r="O51" t="str">
            <v>{{1,254}|{2,109}|{3,3363}|{4,600}|{5,15000}|{6,9000}|{7,0}|{8,10000}|{9,10000}|{10,3623}|{11,0}|{12,0}}</v>
          </cell>
          <cell r="P51">
            <v>1000</v>
          </cell>
          <cell r="Q51">
            <v>300</v>
          </cell>
          <cell r="R51">
            <v>2393</v>
          </cell>
          <cell r="S51" t="str">
            <v>{40022,40021,40023,40024,40025,40026}</v>
          </cell>
          <cell r="T51">
            <v>94002</v>
          </cell>
          <cell r="U51">
            <v>8</v>
          </cell>
        </row>
        <row r="51">
          <cell r="W51">
            <v>4002</v>
          </cell>
          <cell r="X51">
            <v>114002</v>
          </cell>
          <cell r="Y51">
            <v>1</v>
          </cell>
          <cell r="Z51" t="b">
            <v>1</v>
          </cell>
        </row>
        <row r="51">
          <cell r="AB51" t="str">
            <v>{240021,240022,240023}</v>
          </cell>
          <cell r="AC51" t="str">
            <v>240021</v>
          </cell>
        </row>
        <row r="52">
          <cell r="A52">
            <v>4004</v>
          </cell>
          <cell r="B52" t="str">
            <v>铁御</v>
          </cell>
          <cell r="C52">
            <v>3</v>
          </cell>
          <cell r="D52">
            <v>104004</v>
          </cell>
          <cell r="E52" t="str">
            <v>head_4004</v>
          </cell>
          <cell r="F52">
            <v>1</v>
          </cell>
          <cell r="G52">
            <v>5</v>
          </cell>
          <cell r="H52">
            <v>10</v>
          </cell>
          <cell r="I52">
            <v>1</v>
          </cell>
          <cell r="J52">
            <v>2</v>
          </cell>
          <cell r="K52">
            <v>4</v>
          </cell>
          <cell r="L52" t="str">
            <v>{1,2}</v>
          </cell>
          <cell r="M52" t="str">
            <v>skill3</v>
          </cell>
          <cell r="N52">
            <v>17</v>
          </cell>
          <cell r="O52" t="str">
            <v>{{1,254}|{2,109}|{3,3363}|{4,600}|{5,15000}|{6,9000}|{7,0}|{8,10000}|{9,10000}|{10,3623}|{11,0}|{12,0}}</v>
          </cell>
          <cell r="P52">
            <v>1000</v>
          </cell>
          <cell r="Q52">
            <v>300</v>
          </cell>
          <cell r="R52">
            <v>2393</v>
          </cell>
          <cell r="S52" t="str">
            <v>{40042,40041,40043,40044,40045}</v>
          </cell>
          <cell r="T52">
            <v>94004</v>
          </cell>
          <cell r="U52">
            <v>8</v>
          </cell>
          <cell r="V52">
            <v>6</v>
          </cell>
          <cell r="W52">
            <v>4004</v>
          </cell>
          <cell r="X52">
            <v>114004</v>
          </cell>
          <cell r="Y52">
            <v>1</v>
          </cell>
          <cell r="Z52" t="b">
            <v>1</v>
          </cell>
        </row>
        <row r="52">
          <cell r="AB52" t="str">
            <v>{240041,240042,240043}</v>
          </cell>
          <cell r="AC52" t="str">
            <v>240041</v>
          </cell>
        </row>
        <row r="52">
          <cell r="AG52">
            <v>771003</v>
          </cell>
        </row>
        <row r="53">
          <cell r="A53">
            <v>4007</v>
          </cell>
          <cell r="B53" t="str">
            <v>勒维亚坦</v>
          </cell>
          <cell r="C53">
            <v>3</v>
          </cell>
          <cell r="D53">
            <v>104007</v>
          </cell>
          <cell r="E53" t="str">
            <v>head_4007</v>
          </cell>
          <cell r="F53">
            <v>1</v>
          </cell>
          <cell r="G53">
            <v>5</v>
          </cell>
          <cell r="H53">
            <v>10</v>
          </cell>
          <cell r="I53">
            <v>1</v>
          </cell>
          <cell r="J53">
            <v>2</v>
          </cell>
          <cell r="K53">
            <v>3</v>
          </cell>
          <cell r="L53" t="str">
            <v>{3,1}</v>
          </cell>
          <cell r="M53" t="str">
            <v>skill3</v>
          </cell>
          <cell r="N53">
            <v>17</v>
          </cell>
          <cell r="O53" t="str">
            <v>{{1,254}|{2,109}|{3,3363}|{4,600}|{5,15000}|{6,9000}|{7,0}|{8,10000}|{9,10000}|{10,3623}|{11,0}|{12,0}}</v>
          </cell>
          <cell r="P53">
            <v>1000</v>
          </cell>
          <cell r="Q53">
            <v>300</v>
          </cell>
          <cell r="R53">
            <v>2393</v>
          </cell>
          <cell r="S53" t="str">
            <v>{40072,40071,40073,40074,40075}</v>
          </cell>
          <cell r="T53">
            <v>94007</v>
          </cell>
          <cell r="U53">
            <v>7</v>
          </cell>
        </row>
        <row r="53">
          <cell r="W53">
            <v>4007</v>
          </cell>
          <cell r="X53">
            <v>114007</v>
          </cell>
          <cell r="Y53">
            <v>1</v>
          </cell>
          <cell r="Z53" t="b">
            <v>1</v>
          </cell>
        </row>
        <row r="53">
          <cell r="AB53" t="str">
            <v>{240071,240072,240073}</v>
          </cell>
          <cell r="AC53" t="str">
            <v>240071</v>
          </cell>
        </row>
        <row r="53">
          <cell r="AG53">
            <v>771001</v>
          </cell>
        </row>
        <row r="54">
          <cell r="A54">
            <v>4012</v>
          </cell>
          <cell r="B54" t="str">
            <v>御凶</v>
          </cell>
          <cell r="C54">
            <v>3</v>
          </cell>
          <cell r="D54">
            <v>104012</v>
          </cell>
          <cell r="E54" t="str">
            <v>head_4012</v>
          </cell>
          <cell r="F54">
            <v>1</v>
          </cell>
          <cell r="G54">
            <v>5</v>
          </cell>
          <cell r="H54">
            <v>10</v>
          </cell>
          <cell r="I54">
            <v>1</v>
          </cell>
          <cell r="J54">
            <v>1</v>
          </cell>
          <cell r="K54">
            <v>3</v>
          </cell>
          <cell r="L54" t="str">
            <v>{1,7}</v>
          </cell>
          <cell r="M54" t="str">
            <v>skill3</v>
          </cell>
          <cell r="N54">
            <v>17</v>
          </cell>
          <cell r="O54" t="str">
            <v>{{1,454}|{2,90}|{3,2272}|{4,600}|{5,15000}|{6,9000}|{7,0}|{8,10000}|{9,10000}|{10,3623}|{11,0}|{12,0}}</v>
          </cell>
          <cell r="P54">
            <v>1000</v>
          </cell>
          <cell r="Q54">
            <v>300</v>
          </cell>
          <cell r="R54">
            <v>2393</v>
          </cell>
          <cell r="S54" t="str">
            <v>{40122,40121,40123,40124,40125}</v>
          </cell>
          <cell r="T54">
            <v>94012</v>
          </cell>
          <cell r="U54">
            <v>7</v>
          </cell>
        </row>
        <row r="54">
          <cell r="W54">
            <v>4012</v>
          </cell>
          <cell r="X54">
            <v>114012</v>
          </cell>
          <cell r="Y54">
            <v>1</v>
          </cell>
          <cell r="Z54" t="b">
            <v>1</v>
          </cell>
        </row>
        <row r="54">
          <cell r="AB54" t="str">
            <v>{240121,240122,240123}</v>
          </cell>
          <cell r="AC54" t="str">
            <v>240121</v>
          </cell>
        </row>
        <row r="55">
          <cell r="A55">
            <v>4014</v>
          </cell>
          <cell r="B55" t="str">
            <v>迦楼罗</v>
          </cell>
          <cell r="C55">
            <v>3</v>
          </cell>
          <cell r="D55">
            <v>104014</v>
          </cell>
          <cell r="E55" t="str">
            <v>head_4014</v>
          </cell>
          <cell r="F55">
            <v>1</v>
          </cell>
          <cell r="G55">
            <v>5</v>
          </cell>
          <cell r="H55">
            <v>10</v>
          </cell>
          <cell r="I55">
            <v>1</v>
          </cell>
          <cell r="J55">
            <v>1</v>
          </cell>
          <cell r="K55">
            <v>2</v>
          </cell>
          <cell r="L55" t="str">
            <v>{3,5}</v>
          </cell>
          <cell r="M55" t="str">
            <v>skill3</v>
          </cell>
          <cell r="N55">
            <v>17</v>
          </cell>
          <cell r="O55" t="str">
            <v>{{1,454}|{2,90}|{3,2272}|{4,600}|{5,15000}|{6,9000}|{7,0}|{8,10000}|{9,10000}|{10,3623}|{11,0}|{12,0}}</v>
          </cell>
          <cell r="P55">
            <v>1000</v>
          </cell>
          <cell r="Q55">
            <v>300</v>
          </cell>
          <cell r="R55">
            <v>2393</v>
          </cell>
          <cell r="S55" t="str">
            <v>{40142,40141,40143,40144,40145,40146}</v>
          </cell>
          <cell r="T55">
            <v>94014</v>
          </cell>
          <cell r="U55">
            <v>6</v>
          </cell>
        </row>
        <row r="55">
          <cell r="W55">
            <v>4014</v>
          </cell>
          <cell r="X55">
            <v>114014</v>
          </cell>
          <cell r="Y55">
            <v>1</v>
          </cell>
          <cell r="Z55" t="b">
            <v>1</v>
          </cell>
        </row>
        <row r="55">
          <cell r="AB55" t="str">
            <v>{240141,240142,240143}</v>
          </cell>
          <cell r="AC55" t="str">
            <v>240141</v>
          </cell>
        </row>
        <row r="56">
          <cell r="A56">
            <v>4015</v>
          </cell>
          <cell r="B56" t="str">
            <v>金翎</v>
          </cell>
          <cell r="C56">
            <v>3</v>
          </cell>
          <cell r="D56">
            <v>104015</v>
          </cell>
          <cell r="E56" t="str">
            <v>head_4015</v>
          </cell>
          <cell r="F56">
            <v>1</v>
          </cell>
          <cell r="G56">
            <v>5</v>
          </cell>
          <cell r="H56">
            <v>10</v>
          </cell>
          <cell r="I56">
            <v>2</v>
          </cell>
          <cell r="J56">
            <v>4</v>
          </cell>
          <cell r="K56">
            <v>2</v>
          </cell>
          <cell r="L56" t="str">
            <v>{1,6}</v>
          </cell>
          <cell r="M56" t="str">
            <v>skill3</v>
          </cell>
          <cell r="N56">
            <v>17</v>
          </cell>
          <cell r="O56" t="str">
            <v>{{1,363}|{2,72}|{3,2272}|{4,600}|{5,15000}|{6,9000}|{7,0}|{8,10000}|{9,10000}|{10,3622}|{11,0}|{12,0}}</v>
          </cell>
          <cell r="P56">
            <v>1200</v>
          </cell>
          <cell r="Q56">
            <v>600</v>
          </cell>
          <cell r="R56">
            <v>2393</v>
          </cell>
          <cell r="S56" t="str">
            <v>{40152,40151,40153,40154,40155}</v>
          </cell>
          <cell r="T56">
            <v>94015</v>
          </cell>
          <cell r="U56">
            <v>6</v>
          </cell>
        </row>
        <row r="56">
          <cell r="W56">
            <v>4015</v>
          </cell>
          <cell r="X56">
            <v>114015</v>
          </cell>
          <cell r="Y56">
            <v>1</v>
          </cell>
          <cell r="Z56" t="b">
            <v>1</v>
          </cell>
        </row>
        <row r="56">
          <cell r="AB56" t="str">
            <v>{240151,240152,240153}</v>
          </cell>
          <cell r="AC56" t="str">
            <v>240151</v>
          </cell>
        </row>
        <row r="57">
          <cell r="A57">
            <v>4016</v>
          </cell>
          <cell r="B57" t="str">
            <v>巴哈姆特</v>
          </cell>
          <cell r="C57">
            <v>3</v>
          </cell>
          <cell r="D57">
            <v>104016</v>
          </cell>
          <cell r="E57" t="str">
            <v>head_4016</v>
          </cell>
          <cell r="F57">
            <v>1</v>
          </cell>
          <cell r="G57">
            <v>5</v>
          </cell>
          <cell r="H57">
            <v>10</v>
          </cell>
          <cell r="I57">
            <v>1</v>
          </cell>
          <cell r="J57">
            <v>1</v>
          </cell>
          <cell r="K57">
            <v>4</v>
          </cell>
          <cell r="L57" t="str">
            <v>{1,3}</v>
          </cell>
          <cell r="M57" t="str">
            <v>skill3</v>
          </cell>
          <cell r="N57">
            <v>17</v>
          </cell>
          <cell r="O57" t="str">
            <v>{{1,454}|{2,90}|{3,2272}|{4,600}|{5,15000}|{6,9000}|{7,0}|{8,10000}|{9,10000}|{10,3623}|{11,0}|{12,0}}</v>
          </cell>
          <cell r="P57">
            <v>1000</v>
          </cell>
          <cell r="Q57">
            <v>600</v>
          </cell>
          <cell r="R57">
            <v>2393</v>
          </cell>
          <cell r="S57" t="str">
            <v>{40162,40161,40163,40164,40165}</v>
          </cell>
          <cell r="T57">
            <v>94016</v>
          </cell>
          <cell r="U57">
            <v>8</v>
          </cell>
        </row>
        <row r="57">
          <cell r="W57">
            <v>4016</v>
          </cell>
          <cell r="X57">
            <v>114016</v>
          </cell>
          <cell r="Y57">
            <v>1</v>
          </cell>
          <cell r="Z57" t="b">
            <v>1</v>
          </cell>
        </row>
        <row r="57">
          <cell r="AB57" t="str">
            <v>{240161,240162,240163}</v>
          </cell>
          <cell r="AC57" t="str">
            <v>240161</v>
          </cell>
        </row>
        <row r="58">
          <cell r="A58">
            <v>4018</v>
          </cell>
          <cell r="B58" t="str">
            <v>罗格</v>
          </cell>
          <cell r="C58">
            <v>3</v>
          </cell>
          <cell r="D58">
            <v>104018</v>
          </cell>
          <cell r="E58" t="str">
            <v>head_4018</v>
          </cell>
          <cell r="F58">
            <v>1</v>
          </cell>
          <cell r="G58">
            <v>5</v>
          </cell>
          <cell r="H58">
            <v>10</v>
          </cell>
          <cell r="I58">
            <v>1</v>
          </cell>
          <cell r="J58">
            <v>1</v>
          </cell>
          <cell r="K58">
            <v>3</v>
          </cell>
          <cell r="L58" t="str">
            <v>{1,6}</v>
          </cell>
          <cell r="M58" t="str">
            <v>skill3</v>
          </cell>
          <cell r="N58">
            <v>17</v>
          </cell>
          <cell r="O58" t="str">
            <v>{{1,454}|{2,90}|{3,2272}|{4,600}|{5,15000}|{6,9000}|{7,0}|{8,10000}|{9,10000}|{10,3623}|{11,0}|{12,0}}</v>
          </cell>
          <cell r="P58">
            <v>1000</v>
          </cell>
          <cell r="Q58">
            <v>300</v>
          </cell>
          <cell r="R58">
            <v>2393</v>
          </cell>
          <cell r="S58" t="str">
            <v>{40182,40181,40183,40184,40185}</v>
          </cell>
          <cell r="T58">
            <v>94018</v>
          </cell>
          <cell r="U58">
            <v>7</v>
          </cell>
        </row>
        <row r="58">
          <cell r="W58">
            <v>4018</v>
          </cell>
          <cell r="X58">
            <v>114018</v>
          </cell>
          <cell r="Y58">
            <v>1</v>
          </cell>
          <cell r="Z58" t="b">
            <v>1</v>
          </cell>
        </row>
        <row r="58">
          <cell r="AB58" t="str">
            <v>{240181,240182,240183}</v>
          </cell>
          <cell r="AC58" t="str">
            <v>240181</v>
          </cell>
        </row>
        <row r="59">
          <cell r="A59">
            <v>4019</v>
          </cell>
          <cell r="B59" t="str">
            <v>亚煞</v>
          </cell>
          <cell r="C59">
            <v>3</v>
          </cell>
          <cell r="D59">
            <v>104019</v>
          </cell>
          <cell r="E59" t="str">
            <v>head_4019</v>
          </cell>
          <cell r="F59">
            <v>1</v>
          </cell>
          <cell r="G59">
            <v>5</v>
          </cell>
          <cell r="H59">
            <v>10</v>
          </cell>
          <cell r="I59">
            <v>1</v>
          </cell>
          <cell r="J59">
            <v>1</v>
          </cell>
          <cell r="K59">
            <v>4</v>
          </cell>
          <cell r="L59" t="str">
            <v>{2}</v>
          </cell>
          <cell r="M59" t="str">
            <v>skill3</v>
          </cell>
          <cell r="N59">
            <v>17</v>
          </cell>
          <cell r="O59" t="str">
            <v>{{1,522}|{2,63}|{3,2272}|{4,600}|{5,15000}|{6,9000}|{7,0}|{8,10000}|{9,10000}|{10,3623}|{11,0}|{12,0}}</v>
          </cell>
          <cell r="P59">
            <v>1000</v>
          </cell>
          <cell r="Q59">
            <v>300</v>
          </cell>
          <cell r="R59">
            <v>2393</v>
          </cell>
          <cell r="S59" t="str">
            <v>{40192,40191,40193,40194,40195}</v>
          </cell>
          <cell r="T59">
            <v>94019</v>
          </cell>
          <cell r="U59">
            <v>8</v>
          </cell>
        </row>
        <row r="59">
          <cell r="W59">
            <v>4019</v>
          </cell>
          <cell r="X59">
            <v>114019</v>
          </cell>
          <cell r="Y59">
            <v>1</v>
          </cell>
          <cell r="Z59" t="b">
            <v>1</v>
          </cell>
        </row>
        <row r="59">
          <cell r="AB59" t="str">
            <v>{240191,240192,240193}</v>
          </cell>
          <cell r="AC59" t="str">
            <v>240191</v>
          </cell>
        </row>
        <row r="60">
          <cell r="A60">
            <v>4021</v>
          </cell>
          <cell r="B60" t="str">
            <v>巫毒</v>
          </cell>
          <cell r="C60">
            <v>3</v>
          </cell>
          <cell r="D60">
            <v>104021</v>
          </cell>
          <cell r="E60" t="str">
            <v>head_4021</v>
          </cell>
          <cell r="F60">
            <v>1</v>
          </cell>
          <cell r="G60">
            <v>5</v>
          </cell>
          <cell r="H60">
            <v>10</v>
          </cell>
          <cell r="I60">
            <v>2</v>
          </cell>
          <cell r="J60">
            <v>3</v>
          </cell>
          <cell r="K60">
            <v>3</v>
          </cell>
          <cell r="L60" t="str">
            <v>{1,6}</v>
          </cell>
          <cell r="M60" t="str">
            <v>skill3</v>
          </cell>
          <cell r="N60">
            <v>17</v>
          </cell>
          <cell r="O60" t="str">
            <v>{{1,281}|{2,81}|{3,2727}|{4,600}|{5,15000}|{6,9000}|{7,0}|{8,10000}|{9,10000}|{10,3622}|{11,0}|{12,0}}</v>
          </cell>
          <cell r="P60">
            <v>1400</v>
          </cell>
          <cell r="Q60">
            <v>600</v>
          </cell>
          <cell r="R60">
            <v>2393</v>
          </cell>
          <cell r="S60" t="str">
            <v>{40212,40211,40213,40214,40215,40216}</v>
          </cell>
          <cell r="T60">
            <v>94021</v>
          </cell>
          <cell r="U60">
            <v>7</v>
          </cell>
          <cell r="V60">
            <v>12</v>
          </cell>
          <cell r="W60">
            <v>4021</v>
          </cell>
          <cell r="X60">
            <v>114021</v>
          </cell>
          <cell r="Y60">
            <v>1</v>
          </cell>
          <cell r="Z60" t="b">
            <v>1</v>
          </cell>
        </row>
        <row r="60">
          <cell r="AB60" t="str">
            <v>{240211,240212,240213}</v>
          </cell>
          <cell r="AC60" t="str">
            <v>240211</v>
          </cell>
        </row>
        <row r="60">
          <cell r="AG60">
            <v>771007</v>
          </cell>
        </row>
        <row r="61">
          <cell r="A61">
            <v>4023</v>
          </cell>
          <cell r="B61" t="str">
            <v>沙暴</v>
          </cell>
          <cell r="C61">
            <v>3</v>
          </cell>
          <cell r="D61">
            <v>104023</v>
          </cell>
          <cell r="E61" t="str">
            <v>head_4023</v>
          </cell>
          <cell r="F61">
            <v>1</v>
          </cell>
          <cell r="G61">
            <v>5</v>
          </cell>
          <cell r="H61">
            <v>10</v>
          </cell>
          <cell r="I61">
            <v>2</v>
          </cell>
          <cell r="J61">
            <v>3</v>
          </cell>
          <cell r="K61">
            <v>4</v>
          </cell>
          <cell r="L61" t="str">
            <v>{1,6}</v>
          </cell>
          <cell r="M61" t="str">
            <v>skill3</v>
          </cell>
          <cell r="N61">
            <v>17</v>
          </cell>
          <cell r="O61" t="str">
            <v>{{1,281}|{2,81}|{3,2727}|{4,600}|{5,15000}|{6,9000}|{7,0}|{8,10000}|{9,10000}|{10,3622}|{11,0}|{12,0}}</v>
          </cell>
          <cell r="P61">
            <v>1000</v>
          </cell>
          <cell r="Q61">
            <v>300</v>
          </cell>
          <cell r="R61">
            <v>2393</v>
          </cell>
          <cell r="S61" t="str">
            <v>{40232,40231,40233,40234,40235,40236}</v>
          </cell>
          <cell r="T61">
            <v>94023</v>
          </cell>
          <cell r="U61">
            <v>8</v>
          </cell>
          <cell r="V61">
            <v>9</v>
          </cell>
          <cell r="W61">
            <v>4023</v>
          </cell>
          <cell r="X61">
            <v>114023</v>
          </cell>
          <cell r="Y61">
            <v>1</v>
          </cell>
          <cell r="Z61" t="b">
            <v>1</v>
          </cell>
        </row>
        <row r="61">
          <cell r="AB61" t="str">
            <v>{240231,240232,240233}</v>
          </cell>
          <cell r="AC61" t="str">
            <v>240231</v>
          </cell>
        </row>
        <row r="62">
          <cell r="A62">
            <v>3012</v>
          </cell>
          <cell r="B62" t="str">
            <v>金刚</v>
          </cell>
          <cell r="C62">
            <v>4</v>
          </cell>
          <cell r="D62">
            <v>103012</v>
          </cell>
          <cell r="E62" t="str">
            <v>head_3012</v>
          </cell>
          <cell r="F62">
            <v>1</v>
          </cell>
          <cell r="G62">
            <v>5</v>
          </cell>
          <cell r="H62">
            <v>10</v>
          </cell>
          <cell r="I62">
            <v>1</v>
          </cell>
          <cell r="J62">
            <v>2</v>
          </cell>
          <cell r="K62">
            <v>2</v>
          </cell>
          <cell r="L62" t="str">
            <v>{3,2}</v>
          </cell>
          <cell r="M62" t="str">
            <v>skill3</v>
          </cell>
          <cell r="N62">
            <v>17</v>
          </cell>
          <cell r="O62" t="str">
            <v>{{1,305}|{2,130}|{3,4036}|{4,600}|{5,15000}|{6,9000}|{7,0}|{8,10000}|{9,10000}|{10,3623}|{11,0}|{12,0}}</v>
          </cell>
          <cell r="P62">
            <v>1000</v>
          </cell>
          <cell r="Q62">
            <v>300</v>
          </cell>
          <cell r="R62">
            <v>2393</v>
          </cell>
          <cell r="S62" t="str">
            <v>{30122,30121,30123,30124,30125,30126,30127}</v>
          </cell>
          <cell r="T62">
            <v>93012</v>
          </cell>
          <cell r="U62">
            <v>6</v>
          </cell>
        </row>
        <row r="62">
          <cell r="W62">
            <v>3012</v>
          </cell>
          <cell r="X62">
            <v>113012</v>
          </cell>
          <cell r="Y62">
            <v>1</v>
          </cell>
          <cell r="Z62" t="b">
            <v>1</v>
          </cell>
        </row>
        <row r="62">
          <cell r="AB62" t="str">
            <v>{230121,230122,230123}</v>
          </cell>
          <cell r="AC62" t="str">
            <v>230121</v>
          </cell>
        </row>
        <row r="63">
          <cell r="A63">
            <v>3018</v>
          </cell>
          <cell r="B63" t="str">
            <v>薇儿</v>
          </cell>
          <cell r="C63">
            <v>4</v>
          </cell>
          <cell r="D63">
            <v>103018</v>
          </cell>
          <cell r="E63" t="str">
            <v>head_3018</v>
          </cell>
          <cell r="F63">
            <v>1</v>
          </cell>
          <cell r="G63">
            <v>5</v>
          </cell>
          <cell r="H63">
            <v>10</v>
          </cell>
          <cell r="I63">
            <v>2</v>
          </cell>
          <cell r="J63">
            <v>3</v>
          </cell>
          <cell r="K63">
            <v>4</v>
          </cell>
          <cell r="L63" t="str">
            <v>{1}</v>
          </cell>
          <cell r="M63" t="str">
            <v>skill3</v>
          </cell>
          <cell r="N63">
            <v>17</v>
          </cell>
          <cell r="O63" t="str">
            <v>{{1,338}|{2,98}|{3,3272}|{4,600}|{5,15000}|{6,9000}|{7,0}|{8,10000}|{9,10000}|{10,3622}|{11,0}|{12,0}}</v>
          </cell>
          <cell r="P63">
            <v>1200</v>
          </cell>
          <cell r="Q63">
            <v>600</v>
          </cell>
          <cell r="R63">
            <v>2393</v>
          </cell>
          <cell r="S63" t="str">
            <v>{30182,30181,30183,30184,30185,30186,30187,30188,30189}</v>
          </cell>
          <cell r="T63">
            <v>93018</v>
          </cell>
          <cell r="U63">
            <v>8</v>
          </cell>
        </row>
        <row r="63">
          <cell r="W63">
            <v>3018</v>
          </cell>
          <cell r="X63">
            <v>113018</v>
          </cell>
          <cell r="Y63">
            <v>1</v>
          </cell>
          <cell r="Z63" t="b">
            <v>1</v>
          </cell>
        </row>
        <row r="63">
          <cell r="AB63" t="str">
            <v>{230181,230182,230183}</v>
          </cell>
          <cell r="AC63" t="str">
            <v>230181</v>
          </cell>
        </row>
        <row r="64">
          <cell r="A64">
            <v>4001</v>
          </cell>
          <cell r="B64" t="str">
            <v>奈裴斯</v>
          </cell>
          <cell r="C64">
            <v>4</v>
          </cell>
          <cell r="D64">
            <v>104001</v>
          </cell>
          <cell r="E64" t="str">
            <v>head_4001</v>
          </cell>
          <cell r="F64">
            <v>1</v>
          </cell>
          <cell r="G64">
            <v>5</v>
          </cell>
          <cell r="H64">
            <v>10</v>
          </cell>
          <cell r="I64">
            <v>2</v>
          </cell>
          <cell r="J64">
            <v>4</v>
          </cell>
          <cell r="K64">
            <v>2</v>
          </cell>
          <cell r="L64" t="str">
            <v>{1,7}</v>
          </cell>
          <cell r="M64" t="str">
            <v>skill3</v>
          </cell>
          <cell r="N64">
            <v>17</v>
          </cell>
          <cell r="O64" t="str">
            <v>{{1,436}|{2,87}|{3,2727}|{4,600}|{5,15000}|{6,9000}|{7,0}|{8,10000}|{9,10000}|{10,3622}|{11,0}|{12,0}}</v>
          </cell>
          <cell r="P64">
            <v>1000</v>
          </cell>
          <cell r="Q64">
            <v>300</v>
          </cell>
          <cell r="R64">
            <v>2393</v>
          </cell>
          <cell r="S64" t="str">
            <v>{40012,40011,40013,40014,40015,40016,40017,40018}</v>
          </cell>
          <cell r="T64">
            <v>94001</v>
          </cell>
          <cell r="U64">
            <v>6</v>
          </cell>
          <cell r="V64">
            <v>17</v>
          </cell>
          <cell r="W64">
            <v>4001</v>
          </cell>
          <cell r="X64">
            <v>114001</v>
          </cell>
          <cell r="Y64">
            <v>1</v>
          </cell>
          <cell r="Z64" t="b">
            <v>1</v>
          </cell>
        </row>
        <row r="64">
          <cell r="AB64" t="str">
            <v>{240011,240012,240013}</v>
          </cell>
          <cell r="AC64" t="str">
            <v>240011</v>
          </cell>
        </row>
        <row r="65">
          <cell r="A65">
            <v>4005</v>
          </cell>
          <cell r="B65" t="str">
            <v>塞壬</v>
          </cell>
          <cell r="C65">
            <v>4</v>
          </cell>
          <cell r="D65">
            <v>104005</v>
          </cell>
          <cell r="E65" t="str">
            <v>head_4005</v>
          </cell>
          <cell r="F65">
            <v>1</v>
          </cell>
          <cell r="G65">
            <v>5</v>
          </cell>
          <cell r="H65">
            <v>10</v>
          </cell>
          <cell r="I65">
            <v>2</v>
          </cell>
          <cell r="J65">
            <v>3</v>
          </cell>
          <cell r="K65">
            <v>3</v>
          </cell>
          <cell r="L65" t="str">
            <v>{1,2}</v>
          </cell>
          <cell r="M65" t="str">
            <v>skill3</v>
          </cell>
          <cell r="N65">
            <v>17</v>
          </cell>
          <cell r="O65" t="str">
            <v>{{1,338}|{2,98}|{3,3272}|{4,600}|{5,15000}|{6,9000}|{7,0}|{8,10000}|{9,10000}|{10,3622}|{11,0}|{12,0}}</v>
          </cell>
          <cell r="P65">
            <v>1200</v>
          </cell>
          <cell r="Q65">
            <v>600</v>
          </cell>
          <cell r="R65">
            <v>2393</v>
          </cell>
          <cell r="S65" t="str">
            <v>{40052,40051,40053,40054,40055,40056,40057}</v>
          </cell>
          <cell r="T65">
            <v>94005</v>
          </cell>
          <cell r="U65">
            <v>7</v>
          </cell>
        </row>
        <row r="65">
          <cell r="W65">
            <v>4005</v>
          </cell>
          <cell r="X65">
            <v>114005</v>
          </cell>
          <cell r="Y65">
            <v>1</v>
          </cell>
          <cell r="Z65" t="b">
            <v>1</v>
          </cell>
        </row>
        <row r="65">
          <cell r="AB65" t="str">
            <v>{240051,240052,240053}</v>
          </cell>
          <cell r="AC65" t="str">
            <v>240051</v>
          </cell>
        </row>
        <row r="66">
          <cell r="A66">
            <v>4006</v>
          </cell>
          <cell r="B66" t="str">
            <v>美杜莎</v>
          </cell>
          <cell r="C66">
            <v>4</v>
          </cell>
          <cell r="D66">
            <v>104006</v>
          </cell>
          <cell r="E66" t="str">
            <v>head_4006</v>
          </cell>
          <cell r="F66">
            <v>1</v>
          </cell>
          <cell r="G66">
            <v>5</v>
          </cell>
          <cell r="H66">
            <v>10</v>
          </cell>
          <cell r="I66">
            <v>2</v>
          </cell>
          <cell r="J66">
            <v>4</v>
          </cell>
          <cell r="K66">
            <v>3</v>
          </cell>
          <cell r="L66" t="str">
            <v>{1,2}</v>
          </cell>
          <cell r="M66" t="str">
            <v>skill3</v>
          </cell>
          <cell r="N66">
            <v>17</v>
          </cell>
          <cell r="O66" t="str">
            <v>{{1,436}|{2,87}|{3,2727}|{4,600}|{5,15000}|{6,9000}|{7,0}|{8,10000}|{9,10000}|{10,3622}|{11,0}|{12,0}}</v>
          </cell>
          <cell r="P66">
            <v>1200</v>
          </cell>
          <cell r="Q66">
            <v>600</v>
          </cell>
          <cell r="R66">
            <v>2393</v>
          </cell>
          <cell r="S66" t="str">
            <v>{40062,40061,40063,40064,40065,40066,40067,40068}</v>
          </cell>
          <cell r="T66">
            <v>94006</v>
          </cell>
          <cell r="U66">
            <v>7</v>
          </cell>
        </row>
        <row r="66">
          <cell r="W66">
            <v>4006</v>
          </cell>
          <cell r="X66">
            <v>114006</v>
          </cell>
          <cell r="Y66">
            <v>1</v>
          </cell>
          <cell r="Z66" t="b">
            <v>1</v>
          </cell>
        </row>
        <row r="66">
          <cell r="AB66" t="str">
            <v>{240061,240062,240063}</v>
          </cell>
          <cell r="AC66" t="str">
            <v>240061</v>
          </cell>
        </row>
        <row r="67">
          <cell r="A67">
            <v>4009</v>
          </cell>
          <cell r="B67" t="str">
            <v>八岐大蛇</v>
          </cell>
          <cell r="C67">
            <v>4</v>
          </cell>
          <cell r="D67">
            <v>104009</v>
          </cell>
          <cell r="E67" t="str">
            <v>head_4009</v>
          </cell>
          <cell r="F67">
            <v>1</v>
          </cell>
          <cell r="G67">
            <v>5</v>
          </cell>
          <cell r="H67">
            <v>10</v>
          </cell>
          <cell r="I67">
            <v>2</v>
          </cell>
          <cell r="J67">
            <v>4</v>
          </cell>
          <cell r="K67">
            <v>4</v>
          </cell>
          <cell r="L67" t="str">
            <v>{1,6}</v>
          </cell>
          <cell r="M67" t="str">
            <v>skill3</v>
          </cell>
          <cell r="N67">
            <v>17</v>
          </cell>
          <cell r="O67" t="str">
            <v>{{1,436}|{2,87}|{3,2727}|{4,600}|{5,15000}|{6,9000}|{7,0}|{8,10000}|{9,10000}|{10,3622}|{11,0}|{12,0}}</v>
          </cell>
          <cell r="P67">
            <v>1000</v>
          </cell>
          <cell r="Q67">
            <v>600</v>
          </cell>
          <cell r="R67">
            <v>2393</v>
          </cell>
          <cell r="S67" t="str">
            <v>{40092,40091,40093,40094,40095,40096,40097,40098,40099,49091,49092,49093}</v>
          </cell>
          <cell r="T67">
            <v>94009</v>
          </cell>
          <cell r="U67">
            <v>8</v>
          </cell>
        </row>
        <row r="67">
          <cell r="W67">
            <v>4009</v>
          </cell>
          <cell r="X67">
            <v>114009</v>
          </cell>
          <cell r="Y67">
            <v>1</v>
          </cell>
          <cell r="Z67" t="b">
            <v>1</v>
          </cell>
        </row>
        <row r="67">
          <cell r="AB67" t="str">
            <v>{240091,240092,240093}</v>
          </cell>
          <cell r="AC67" t="str">
            <v>240091</v>
          </cell>
        </row>
        <row r="68">
          <cell r="A68">
            <v>4017</v>
          </cell>
          <cell r="B68" t="str">
            <v>极明</v>
          </cell>
          <cell r="C68">
            <v>4</v>
          </cell>
          <cell r="D68">
            <v>104017</v>
          </cell>
          <cell r="E68" t="str">
            <v>head_4017</v>
          </cell>
          <cell r="F68">
            <v>1</v>
          </cell>
          <cell r="G68">
            <v>5</v>
          </cell>
          <cell r="H68">
            <v>10</v>
          </cell>
          <cell r="I68">
            <v>2</v>
          </cell>
          <cell r="J68">
            <v>4</v>
          </cell>
          <cell r="K68">
            <v>1</v>
          </cell>
          <cell r="L68" t="str">
            <v>{1,2}</v>
          </cell>
          <cell r="M68" t="str">
            <v>skill3</v>
          </cell>
          <cell r="N68">
            <v>17</v>
          </cell>
          <cell r="O68" t="str">
            <v>{{1,436}|{2,87}|{3,2727}|{4,600}|{5,15000}|{6,9000}|{7,0}|{8,10000}|{9,10000}|{10,3622}|{11,0}|{12,0}}</v>
          </cell>
          <cell r="P68">
            <v>1200</v>
          </cell>
          <cell r="Q68">
            <v>600</v>
          </cell>
          <cell r="R68">
            <v>2393</v>
          </cell>
          <cell r="S68" t="str">
            <v>{40172,40171,40173,40174,40175,40176,40177,40178,40179,40180,401781}</v>
          </cell>
          <cell r="T68">
            <v>94017</v>
          </cell>
          <cell r="U68">
            <v>5</v>
          </cell>
        </row>
        <row r="68">
          <cell r="W68">
            <v>4017</v>
          </cell>
          <cell r="X68">
            <v>114017</v>
          </cell>
          <cell r="Y68">
            <v>1</v>
          </cell>
          <cell r="Z68" t="b">
            <v>1</v>
          </cell>
        </row>
        <row r="68">
          <cell r="AB68" t="str">
            <v>{240171,240172,240173}</v>
          </cell>
          <cell r="AC68" t="str">
            <v>240171</v>
          </cell>
        </row>
        <row r="69">
          <cell r="A69">
            <v>4022</v>
          </cell>
          <cell r="B69" t="str">
            <v>瓦尔基里</v>
          </cell>
          <cell r="C69">
            <v>4</v>
          </cell>
          <cell r="D69">
            <v>104022</v>
          </cell>
          <cell r="E69" t="str">
            <v>head_4022</v>
          </cell>
          <cell r="F69">
            <v>1</v>
          </cell>
          <cell r="G69">
            <v>5</v>
          </cell>
          <cell r="H69">
            <v>10</v>
          </cell>
          <cell r="I69">
            <v>1</v>
          </cell>
          <cell r="J69">
            <v>1</v>
          </cell>
          <cell r="K69">
            <v>2</v>
          </cell>
          <cell r="L69" t="str">
            <v>{1,5}</v>
          </cell>
          <cell r="M69" t="str">
            <v>skill3</v>
          </cell>
          <cell r="N69">
            <v>17</v>
          </cell>
          <cell r="O69" t="str">
            <v>{{1,305}|{2,130}|{3,4036}|{4,600}|{5,15000}|{6,9000}|{7,0}|{8,10000}|{9,10000}|{10,3623}|{11,0}|{12,0}}</v>
          </cell>
          <cell r="P69">
            <v>1000</v>
          </cell>
          <cell r="Q69">
            <v>300</v>
          </cell>
          <cell r="R69">
            <v>2393</v>
          </cell>
          <cell r="S69" t="str">
            <v>{40222,40221,40223,40224,40225,40226,40227}</v>
          </cell>
          <cell r="T69">
            <v>94022</v>
          </cell>
          <cell r="U69">
            <v>6</v>
          </cell>
        </row>
        <row r="69">
          <cell r="W69">
            <v>4022</v>
          </cell>
          <cell r="X69">
            <v>114022</v>
          </cell>
          <cell r="Y69">
            <v>1</v>
          </cell>
          <cell r="Z69" t="b">
            <v>1</v>
          </cell>
        </row>
        <row r="69">
          <cell r="AB69" t="str">
            <v>{240221,240222,240223}</v>
          </cell>
          <cell r="AC69" t="str">
            <v>240221</v>
          </cell>
        </row>
        <row r="69">
          <cell r="AG69">
            <v>8569</v>
          </cell>
        </row>
        <row r="70">
          <cell r="A70">
            <v>4024</v>
          </cell>
          <cell r="B70" t="str">
            <v>血虹</v>
          </cell>
          <cell r="C70">
            <v>4</v>
          </cell>
          <cell r="D70">
            <v>104024</v>
          </cell>
          <cell r="E70" t="str">
            <v>head_4024</v>
          </cell>
          <cell r="F70">
            <v>1</v>
          </cell>
          <cell r="G70">
            <v>5</v>
          </cell>
          <cell r="H70">
            <v>10</v>
          </cell>
          <cell r="I70">
            <v>1</v>
          </cell>
          <cell r="J70">
            <v>1</v>
          </cell>
          <cell r="K70">
            <v>4</v>
          </cell>
          <cell r="L70" t="str">
            <v>{1,2}</v>
          </cell>
          <cell r="M70" t="str">
            <v>skill3</v>
          </cell>
          <cell r="N70">
            <v>17</v>
          </cell>
          <cell r="O70" t="str">
            <v>{{1,545}|{2,109}|{3,2727}|{4,600}|{5,15000}|{6,9000}|{7,0}|{8,10000}|{9,10000}|{10,3623}|{11,0}|{12,0}}</v>
          </cell>
          <cell r="P70">
            <v>1000</v>
          </cell>
          <cell r="Q70">
            <v>300</v>
          </cell>
          <cell r="R70">
            <v>2393</v>
          </cell>
          <cell r="S70" t="str">
            <v>{40242,40241,40243,40244,40245,40246,40247,40248}</v>
          </cell>
          <cell r="T70">
            <v>94024</v>
          </cell>
          <cell r="U70">
            <v>8</v>
          </cell>
          <cell r="V70">
            <v>16</v>
          </cell>
          <cell r="W70">
            <v>4024</v>
          </cell>
          <cell r="X70">
            <v>114024</v>
          </cell>
          <cell r="Y70">
            <v>1</v>
          </cell>
          <cell r="Z70" t="b">
            <v>1</v>
          </cell>
        </row>
        <row r="70">
          <cell r="AB70" t="str">
            <v>{240241,240242,240243}</v>
          </cell>
          <cell r="AC70" t="str">
            <v>240241</v>
          </cell>
        </row>
        <row r="71">
          <cell r="A71">
            <v>4025</v>
          </cell>
          <cell r="B71" t="str">
            <v>幽焰骑士</v>
          </cell>
          <cell r="C71">
            <v>4</v>
          </cell>
          <cell r="D71">
            <v>104025</v>
          </cell>
          <cell r="E71" t="str">
            <v>head_4025</v>
          </cell>
          <cell r="F71">
            <v>1</v>
          </cell>
          <cell r="G71">
            <v>5</v>
          </cell>
          <cell r="H71">
            <v>10</v>
          </cell>
          <cell r="I71">
            <v>1</v>
          </cell>
          <cell r="J71">
            <v>1</v>
          </cell>
          <cell r="K71">
            <v>3</v>
          </cell>
          <cell r="L71" t="str">
            <v>{1,7}</v>
          </cell>
          <cell r="M71" t="str">
            <v>skill3</v>
          </cell>
          <cell r="N71">
            <v>17</v>
          </cell>
          <cell r="O71" t="str">
            <v>{{1,545}|{2,109}|{3,2727}|{4,600}|{5,15000}|{6,9000}|{7,0}|{8,10000}|{9,10000}|{10,3623}|{11,0}|{12,0}}</v>
          </cell>
          <cell r="P71">
            <v>1000</v>
          </cell>
          <cell r="Q71">
            <v>300</v>
          </cell>
          <cell r="R71">
            <v>2393</v>
          </cell>
          <cell r="S71" t="str">
            <v>{40252,40251,40253,40254,40255,40256,40257,40258,40259}</v>
          </cell>
          <cell r="T71">
            <v>94025</v>
          </cell>
          <cell r="U71">
            <v>7</v>
          </cell>
        </row>
        <row r="71">
          <cell r="W71">
            <v>4025</v>
          </cell>
          <cell r="X71">
            <v>114025</v>
          </cell>
          <cell r="Y71">
            <v>1</v>
          </cell>
          <cell r="Z71" t="b">
            <v>1</v>
          </cell>
        </row>
        <row r="71">
          <cell r="AB71" t="str">
            <v>{240251,240252,240253}</v>
          </cell>
          <cell r="AC71" t="str">
            <v>240251</v>
          </cell>
        </row>
        <row r="72">
          <cell r="A72">
            <v>4026</v>
          </cell>
          <cell r="B72" t="str">
            <v>霜语</v>
          </cell>
          <cell r="C72">
            <v>4</v>
          </cell>
          <cell r="D72">
            <v>104026</v>
          </cell>
          <cell r="E72" t="str">
            <v>head_4026</v>
          </cell>
          <cell r="F72">
            <v>1</v>
          </cell>
          <cell r="G72">
            <v>5</v>
          </cell>
          <cell r="H72">
            <v>10</v>
          </cell>
          <cell r="I72">
            <v>1</v>
          </cell>
          <cell r="J72">
            <v>1</v>
          </cell>
          <cell r="K72">
            <v>3</v>
          </cell>
          <cell r="L72" t="str">
            <v>{2}</v>
          </cell>
          <cell r="M72" t="str">
            <v>skill3</v>
          </cell>
          <cell r="N72">
            <v>17</v>
          </cell>
          <cell r="O72" t="str">
            <v>{{1,627}|{2,76}|{3,2727}|{4,600}|{5,15000}|{6,9000}|{7,0}|{8,10000}|{9,10000}|{10,3623}|{11,0}|{12,0}}</v>
          </cell>
          <cell r="P72">
            <v>1000</v>
          </cell>
          <cell r="Q72">
            <v>300</v>
          </cell>
          <cell r="R72">
            <v>2393</v>
          </cell>
          <cell r="S72" t="str">
            <v>{40262,40261,40263,40264,40265,40266,40267,40268}</v>
          </cell>
          <cell r="T72">
            <v>94026</v>
          </cell>
          <cell r="U72">
            <v>9</v>
          </cell>
        </row>
        <row r="72">
          <cell r="W72">
            <v>4026</v>
          </cell>
          <cell r="X72">
            <v>114026</v>
          </cell>
          <cell r="Y72">
            <v>1</v>
          </cell>
          <cell r="Z72" t="b">
            <v>1</v>
          </cell>
        </row>
        <row r="72">
          <cell r="AB72" t="str">
            <v>{240261,240262,240263}</v>
          </cell>
          <cell r="AC72" t="str">
            <v>240261</v>
          </cell>
        </row>
        <row r="73">
          <cell r="A73">
            <v>4027</v>
          </cell>
          <cell r="B73" t="str">
            <v>马奇顿</v>
          </cell>
          <cell r="C73">
            <v>4</v>
          </cell>
          <cell r="D73">
            <v>104027</v>
          </cell>
          <cell r="E73" t="str">
            <v>head_4027</v>
          </cell>
          <cell r="F73">
            <v>1</v>
          </cell>
          <cell r="G73">
            <v>5</v>
          </cell>
          <cell r="H73">
            <v>10</v>
          </cell>
          <cell r="I73">
            <v>1</v>
          </cell>
          <cell r="J73">
            <v>2</v>
          </cell>
          <cell r="K73">
            <v>4</v>
          </cell>
          <cell r="L73" t="str">
            <v>{3,7}</v>
          </cell>
          <cell r="M73" t="str">
            <v>skill3</v>
          </cell>
          <cell r="N73">
            <v>17</v>
          </cell>
          <cell r="O73" t="str">
            <v>{{1,305}|{2,130}|{3,4036}|{4,600}|{5,15000}|{6,9000}|{7,0}|{8,10000}|{9,10000}|{10,3623}|{11,0}|{12,0}}</v>
          </cell>
          <cell r="P73">
            <v>1000</v>
          </cell>
          <cell r="Q73">
            <v>300</v>
          </cell>
          <cell r="R73">
            <v>2393</v>
          </cell>
          <cell r="S73" t="str">
            <v>{40272,40271,40273,40274,40275,40276,40277,40278}</v>
          </cell>
          <cell r="T73">
            <v>94027</v>
          </cell>
          <cell r="U73">
            <v>8</v>
          </cell>
        </row>
        <row r="73">
          <cell r="W73">
            <v>4027</v>
          </cell>
          <cell r="X73">
            <v>114027</v>
          </cell>
          <cell r="Y73">
            <v>1</v>
          </cell>
          <cell r="Z73" t="b">
            <v>1</v>
          </cell>
        </row>
        <row r="73">
          <cell r="AB73" t="str">
            <v>{240271,240272,240273}</v>
          </cell>
          <cell r="AC73" t="str">
            <v>240271</v>
          </cell>
        </row>
        <row r="74">
          <cell r="A74">
            <v>4028</v>
          </cell>
          <cell r="B74" t="str">
            <v>霜石</v>
          </cell>
          <cell r="C74">
            <v>4</v>
          </cell>
          <cell r="D74">
            <v>104028</v>
          </cell>
          <cell r="E74" t="str">
            <v>head_4028</v>
          </cell>
          <cell r="F74">
            <v>1</v>
          </cell>
          <cell r="G74">
            <v>5</v>
          </cell>
          <cell r="H74">
            <v>10</v>
          </cell>
          <cell r="I74">
            <v>1</v>
          </cell>
          <cell r="J74">
            <v>2</v>
          </cell>
          <cell r="K74">
            <v>1</v>
          </cell>
          <cell r="L74" t="str">
            <v>{1,7}</v>
          </cell>
          <cell r="M74" t="str">
            <v>skill3</v>
          </cell>
          <cell r="N74">
            <v>17</v>
          </cell>
          <cell r="O74" t="str">
            <v>{{1,305}|{2,130}|{3,4036}|{4,600}|{5,15000}|{6,9000}|{7,0}|{8,10000}|{9,10000}|{10,3623}|{11,0}|{12,0}}</v>
          </cell>
          <cell r="P74">
            <v>1000</v>
          </cell>
          <cell r="Q74">
            <v>300</v>
          </cell>
          <cell r="R74">
            <v>2393</v>
          </cell>
          <cell r="S74" t="str">
            <v>{40282,40281,40283,40284,40285,40286,40287}</v>
          </cell>
          <cell r="T74">
            <v>94028</v>
          </cell>
          <cell r="U74">
            <v>5</v>
          </cell>
        </row>
        <row r="74">
          <cell r="W74">
            <v>4028</v>
          </cell>
          <cell r="X74">
            <v>114028</v>
          </cell>
          <cell r="Y74">
            <v>1</v>
          </cell>
          <cell r="Z74" t="b">
            <v>1</v>
          </cell>
        </row>
        <row r="74">
          <cell r="AB74" t="str">
            <v>{240281,240282,240283}</v>
          </cell>
          <cell r="AC74" t="str">
            <v>240281</v>
          </cell>
        </row>
        <row r="74">
          <cell r="AG74">
            <v>8570</v>
          </cell>
        </row>
        <row r="75">
          <cell r="A75">
            <v>4030</v>
          </cell>
          <cell r="B75" t="str">
            <v>伊夫尼特</v>
          </cell>
          <cell r="C75">
            <v>4</v>
          </cell>
          <cell r="D75">
            <v>104030</v>
          </cell>
          <cell r="E75" t="str">
            <v>head_4030</v>
          </cell>
          <cell r="F75">
            <v>1</v>
          </cell>
          <cell r="G75">
            <v>5</v>
          </cell>
          <cell r="H75">
            <v>10</v>
          </cell>
          <cell r="I75">
            <v>2</v>
          </cell>
          <cell r="J75">
            <v>4</v>
          </cell>
          <cell r="K75">
            <v>4</v>
          </cell>
          <cell r="L75" t="str">
            <v>{1,2}</v>
          </cell>
          <cell r="M75" t="str">
            <v>skill3</v>
          </cell>
          <cell r="N75">
            <v>17</v>
          </cell>
          <cell r="O75" t="str">
            <v>{{1,436}|{2,87}|{3,2727}|{4,600}|{5,15000}|{6,9000}|{7,0}|{8,10000}|{9,10000}|{10,3622}|{11,0}|{12,0}}</v>
          </cell>
          <cell r="P75">
            <v>1200</v>
          </cell>
          <cell r="Q75">
            <v>600</v>
          </cell>
          <cell r="R75">
            <v>2393</v>
          </cell>
          <cell r="S75" t="str">
            <v>{40302,40301,40303,40304,40305,40306,40307,40308}</v>
          </cell>
          <cell r="T75">
            <v>94030</v>
          </cell>
          <cell r="U75">
            <v>8</v>
          </cell>
        </row>
        <row r="75">
          <cell r="W75">
            <v>4030</v>
          </cell>
          <cell r="X75">
            <v>114030</v>
          </cell>
          <cell r="Y75">
            <v>1</v>
          </cell>
          <cell r="Z75" t="b">
            <v>1</v>
          </cell>
        </row>
        <row r="75">
          <cell r="AB75" t="str">
            <v>{240301,240302,240303}</v>
          </cell>
          <cell r="AC75" t="str">
            <v>240301</v>
          </cell>
        </row>
        <row r="75">
          <cell r="AG75">
            <v>8571</v>
          </cell>
        </row>
        <row r="76">
          <cell r="A76">
            <v>4031</v>
          </cell>
          <cell r="B76" t="str">
            <v>辛娃</v>
          </cell>
          <cell r="C76">
            <v>4</v>
          </cell>
          <cell r="D76">
            <v>104031</v>
          </cell>
          <cell r="E76" t="str">
            <v>head_4031</v>
          </cell>
          <cell r="F76">
            <v>1</v>
          </cell>
          <cell r="G76">
            <v>5</v>
          </cell>
          <cell r="H76">
            <v>10</v>
          </cell>
          <cell r="I76">
            <v>2</v>
          </cell>
          <cell r="J76">
            <v>3</v>
          </cell>
          <cell r="K76">
            <v>1</v>
          </cell>
          <cell r="L76" t="str">
            <v>{1,7}</v>
          </cell>
          <cell r="M76" t="str">
            <v>skill3</v>
          </cell>
          <cell r="N76">
            <v>17</v>
          </cell>
          <cell r="O76" t="str">
            <v>{{1,338}|{2,98}|{3,3272}|{4,600}|{5,15000}|{6,9000}|{7,0}|{8,10000}|{9,10000}|{10,3622}|{11,0}|{12,0}}</v>
          </cell>
          <cell r="P76">
            <v>1200</v>
          </cell>
          <cell r="Q76">
            <v>600</v>
          </cell>
          <cell r="R76">
            <v>2393</v>
          </cell>
          <cell r="S76" t="str">
            <v>{40312,40311,40313,40314,40315,40316,40317}</v>
          </cell>
          <cell r="T76">
            <v>94031</v>
          </cell>
          <cell r="U76">
            <v>5</v>
          </cell>
        </row>
        <row r="76">
          <cell r="W76">
            <v>4031</v>
          </cell>
          <cell r="X76">
            <v>114031</v>
          </cell>
          <cell r="Y76">
            <v>1</v>
          </cell>
          <cell r="Z76" t="b">
            <v>1</v>
          </cell>
        </row>
        <row r="76">
          <cell r="AB76" t="str">
            <v>{240311,240312,240313}</v>
          </cell>
          <cell r="AC76" t="str">
            <v>240311</v>
          </cell>
        </row>
        <row r="77">
          <cell r="A77">
            <v>4032</v>
          </cell>
          <cell r="B77" t="str">
            <v>创世之光</v>
          </cell>
          <cell r="C77">
            <v>4</v>
          </cell>
          <cell r="D77">
            <v>104032</v>
          </cell>
          <cell r="E77" t="str">
            <v>head_4032</v>
          </cell>
          <cell r="F77">
            <v>1</v>
          </cell>
          <cell r="G77">
            <v>5</v>
          </cell>
          <cell r="H77">
            <v>10</v>
          </cell>
          <cell r="I77">
            <v>2</v>
          </cell>
          <cell r="J77">
            <v>3</v>
          </cell>
          <cell r="K77">
            <v>2</v>
          </cell>
          <cell r="L77" t="str">
            <v>{4,5}</v>
          </cell>
          <cell r="M77" t="str">
            <v>skill3</v>
          </cell>
          <cell r="N77">
            <v>17</v>
          </cell>
          <cell r="O77" t="str">
            <v>{{1,338}|{2,98}|{3,3272}|{4,600}|{5,15000}|{6,9000}|{7,0}|{8,10000}|{9,10000}|{10,3622}|{11,0}|{12,0}}</v>
          </cell>
          <cell r="P77">
            <v>1200</v>
          </cell>
          <cell r="Q77">
            <v>600</v>
          </cell>
          <cell r="R77">
            <v>2393</v>
          </cell>
          <cell r="S77" t="str">
            <v>{40322,40321,40323,40324,40325,40326,40327}</v>
          </cell>
          <cell r="T77">
            <v>94032</v>
          </cell>
          <cell r="U77">
            <v>6</v>
          </cell>
        </row>
        <row r="77">
          <cell r="W77">
            <v>4032</v>
          </cell>
          <cell r="X77">
            <v>114032</v>
          </cell>
          <cell r="Y77">
            <v>1</v>
          </cell>
          <cell r="Z77" t="b">
            <v>1</v>
          </cell>
        </row>
        <row r="77">
          <cell r="AB77" t="str">
            <v>{240321,240322,240323}</v>
          </cell>
          <cell r="AC77" t="str">
            <v>240321</v>
          </cell>
        </row>
        <row r="78">
          <cell r="A78">
            <v>4033</v>
          </cell>
          <cell r="B78" t="str">
            <v>暗影之主</v>
          </cell>
          <cell r="C78">
            <v>4</v>
          </cell>
          <cell r="D78">
            <v>104033</v>
          </cell>
          <cell r="E78" t="str">
            <v>head_4033</v>
          </cell>
          <cell r="F78">
            <v>1</v>
          </cell>
          <cell r="G78">
            <v>5</v>
          </cell>
          <cell r="H78">
            <v>10</v>
          </cell>
          <cell r="I78">
            <v>2</v>
          </cell>
          <cell r="J78">
            <v>4</v>
          </cell>
          <cell r="K78">
            <v>3</v>
          </cell>
          <cell r="L78" t="str">
            <v>{2,7}</v>
          </cell>
          <cell r="M78" t="str">
            <v>skill3</v>
          </cell>
          <cell r="N78">
            <v>17</v>
          </cell>
          <cell r="O78" t="str">
            <v>{{1,436}|{2,87}|{3,2727}|{4,600}|{5,15000}|{6,9000}|{7,0}|{8,10000}|{9,10000}|{10,3622}|{11,0}|{12,0}}</v>
          </cell>
          <cell r="P78">
            <v>1200</v>
          </cell>
          <cell r="Q78">
            <v>600</v>
          </cell>
          <cell r="R78">
            <v>2393</v>
          </cell>
          <cell r="S78" t="str">
            <v>{40332,40331,40333,40334,40335,40336,40337}</v>
          </cell>
          <cell r="T78">
            <v>94033</v>
          </cell>
          <cell r="U78">
            <v>7</v>
          </cell>
          <cell r="V78">
            <v>13</v>
          </cell>
          <cell r="W78">
            <v>4033</v>
          </cell>
          <cell r="X78">
            <v>114033</v>
          </cell>
          <cell r="Y78">
            <v>1</v>
          </cell>
          <cell r="Z78" t="b">
            <v>1</v>
          </cell>
        </row>
        <row r="78">
          <cell r="AB78" t="str">
            <v>{240331,240332,240333}</v>
          </cell>
          <cell r="AC78" t="str">
            <v>240331</v>
          </cell>
        </row>
        <row r="79">
          <cell r="A79">
            <v>4034</v>
          </cell>
          <cell r="B79" t="str">
            <v>九姬</v>
          </cell>
          <cell r="C79">
            <v>4</v>
          </cell>
          <cell r="D79">
            <v>104034</v>
          </cell>
          <cell r="E79" t="str">
            <v>head_4034</v>
          </cell>
          <cell r="F79">
            <v>1</v>
          </cell>
          <cell r="G79">
            <v>5</v>
          </cell>
          <cell r="H79">
            <v>10</v>
          </cell>
          <cell r="I79">
            <v>2</v>
          </cell>
          <cell r="J79">
            <v>4</v>
          </cell>
          <cell r="K79">
            <v>2</v>
          </cell>
          <cell r="L79" t="str">
            <v>{2,7}</v>
          </cell>
          <cell r="M79" t="str">
            <v>skill3</v>
          </cell>
          <cell r="N79">
            <v>17</v>
          </cell>
          <cell r="O79" t="str">
            <v>{{1,436}|{2,87}|{3,2727}|{4,600}|{5,15000}|{6,9000}|{7,0}|{8,10000}|{9,10000}|{10,3622}|{11,0}|{12,0}}</v>
          </cell>
          <cell r="P79">
            <v>1000</v>
          </cell>
          <cell r="Q79">
            <v>600</v>
          </cell>
          <cell r="R79">
            <v>2393</v>
          </cell>
          <cell r="S79" t="str">
            <v>{40342,40341,40343,40344,40345,40346,40347}</v>
          </cell>
          <cell r="T79">
            <v>94034</v>
          </cell>
          <cell r="U79">
            <v>6</v>
          </cell>
        </row>
        <row r="79">
          <cell r="W79">
            <v>4034</v>
          </cell>
          <cell r="X79">
            <v>114034</v>
          </cell>
          <cell r="Y79">
            <v>1</v>
          </cell>
          <cell r="Z79" t="b">
            <v>1</v>
          </cell>
        </row>
        <row r="79">
          <cell r="AB79" t="str">
            <v>{240341,240342,240343}</v>
          </cell>
          <cell r="AC79" t="str">
            <v>240341</v>
          </cell>
        </row>
        <row r="80">
          <cell r="A80">
            <v>4035</v>
          </cell>
          <cell r="B80" t="str">
            <v>风缘之刃</v>
          </cell>
          <cell r="C80">
            <v>4</v>
          </cell>
          <cell r="D80">
            <v>104035</v>
          </cell>
          <cell r="E80" t="str">
            <v>head_4035</v>
          </cell>
          <cell r="F80">
            <v>1</v>
          </cell>
          <cell r="G80">
            <v>5</v>
          </cell>
          <cell r="H80">
            <v>10</v>
          </cell>
          <cell r="I80">
            <v>1</v>
          </cell>
          <cell r="J80">
            <v>1</v>
          </cell>
          <cell r="K80">
            <v>1</v>
          </cell>
          <cell r="L80" t="str">
            <v>{2,3}</v>
          </cell>
          <cell r="M80" t="str">
            <v>skill3</v>
          </cell>
          <cell r="N80">
            <v>17</v>
          </cell>
          <cell r="O80" t="str">
            <v>{{1,627}|{2,76}|{3,2727}|{4,600}|{5,15000}|{6,9000}|{7,0}|{8,10000}|{9,10000}|{10,3623}|{11,0}|{12,0}}</v>
          </cell>
          <cell r="P80">
            <v>1000</v>
          </cell>
          <cell r="Q80">
            <v>300</v>
          </cell>
          <cell r="R80">
            <v>2393</v>
          </cell>
          <cell r="S80" t="str">
            <v>{40352,40351,40353,40354,40355,40356,40357,40358}</v>
          </cell>
          <cell r="T80">
            <v>94035</v>
          </cell>
          <cell r="U80">
            <v>5</v>
          </cell>
        </row>
        <row r="80">
          <cell r="W80">
            <v>4035</v>
          </cell>
          <cell r="X80">
            <v>114035</v>
          </cell>
          <cell r="Y80">
            <v>1</v>
          </cell>
          <cell r="Z80" t="b">
            <v>1</v>
          </cell>
        </row>
        <row r="80">
          <cell r="AB80" t="str">
            <v>{240351,240352,240353}</v>
          </cell>
          <cell r="AC80" t="str">
            <v>240351</v>
          </cell>
        </row>
        <row r="81">
          <cell r="A81">
            <v>4036</v>
          </cell>
          <cell r="B81" t="str">
            <v>贝希摩斯</v>
          </cell>
          <cell r="C81">
            <v>4</v>
          </cell>
          <cell r="D81">
            <v>104036</v>
          </cell>
          <cell r="E81" t="str">
            <v>head_4036</v>
          </cell>
          <cell r="F81">
            <v>1</v>
          </cell>
          <cell r="G81">
            <v>5</v>
          </cell>
          <cell r="H81">
            <v>10</v>
          </cell>
          <cell r="I81">
            <v>1</v>
          </cell>
          <cell r="J81">
            <v>2</v>
          </cell>
          <cell r="K81">
            <v>4</v>
          </cell>
          <cell r="L81" t="str">
            <v>{3,7}</v>
          </cell>
          <cell r="M81" t="str">
            <v>skill3</v>
          </cell>
          <cell r="N81">
            <v>17</v>
          </cell>
          <cell r="O81" t="str">
            <v>{{1,305}|{2,130}|{3,4036}|{4,600}|{5,15000}|{6,9000}|{7,0}|{8,10000}|{9,10000}|{10,3623}|{11,0}|{12,0}}</v>
          </cell>
          <cell r="P81">
            <v>1000</v>
          </cell>
          <cell r="Q81">
            <v>300</v>
          </cell>
          <cell r="R81">
            <v>2393</v>
          </cell>
          <cell r="S81" t="str">
            <v>{40362,40361,40363,40364,40365,40366,40367}</v>
          </cell>
          <cell r="T81">
            <v>94036</v>
          </cell>
          <cell r="U81">
            <v>8</v>
          </cell>
        </row>
        <row r="81">
          <cell r="W81">
            <v>4036</v>
          </cell>
          <cell r="X81">
            <v>114036</v>
          </cell>
          <cell r="Y81">
            <v>1</v>
          </cell>
          <cell r="Z81" t="b">
            <v>1</v>
          </cell>
        </row>
        <row r="81">
          <cell r="AB81" t="str">
            <v>{240361,240362,240363}</v>
          </cell>
          <cell r="AC81" t="str">
            <v>240361</v>
          </cell>
        </row>
        <row r="82">
          <cell r="A82">
            <v>4037</v>
          </cell>
          <cell r="B82" t="str">
            <v>自然之主</v>
          </cell>
          <cell r="C82">
            <v>4</v>
          </cell>
          <cell r="D82">
            <v>104037</v>
          </cell>
          <cell r="E82" t="str">
            <v>head_4037</v>
          </cell>
          <cell r="F82">
            <v>1</v>
          </cell>
          <cell r="G82">
            <v>5</v>
          </cell>
          <cell r="H82">
            <v>10</v>
          </cell>
          <cell r="I82">
            <v>2</v>
          </cell>
          <cell r="J82">
            <v>3</v>
          </cell>
          <cell r="K82">
            <v>1</v>
          </cell>
          <cell r="L82" t="str">
            <v>{4,5}</v>
          </cell>
          <cell r="M82" t="str">
            <v>skill3</v>
          </cell>
          <cell r="N82">
            <v>17</v>
          </cell>
          <cell r="O82" t="str">
            <v>{{1,338}|{2,98}|{3,3272}|{4,600}|{5,15000}|{6,9000}|{7,0}|{8,10000}|{9,10000}|{10,3622}|{11,0}|{12,0}}</v>
          </cell>
          <cell r="P82">
            <v>1200</v>
          </cell>
          <cell r="Q82">
            <v>600</v>
          </cell>
          <cell r="R82">
            <v>2393</v>
          </cell>
          <cell r="S82" t="str">
            <v>{40372,40371,40373,40374,40375,40376,40377,40378,40379,40380,403801}</v>
          </cell>
          <cell r="T82">
            <v>94037</v>
          </cell>
          <cell r="U82">
            <v>5</v>
          </cell>
        </row>
        <row r="82">
          <cell r="W82">
            <v>4037</v>
          </cell>
          <cell r="X82">
            <v>114037</v>
          </cell>
          <cell r="Y82">
            <v>1</v>
          </cell>
          <cell r="Z82" t="b">
            <v>1</v>
          </cell>
        </row>
        <row r="82">
          <cell r="AB82" t="str">
            <v>{240371,240372,240373}</v>
          </cell>
          <cell r="AC82" t="str">
            <v>240371</v>
          </cell>
        </row>
        <row r="83">
          <cell r="A83">
            <v>4038</v>
          </cell>
          <cell r="B83" t="str">
            <v>灵渊</v>
          </cell>
          <cell r="C83">
            <v>4</v>
          </cell>
          <cell r="D83">
            <v>104038</v>
          </cell>
          <cell r="E83" t="str">
            <v>head_4038</v>
          </cell>
          <cell r="F83">
            <v>1</v>
          </cell>
          <cell r="G83">
            <v>5</v>
          </cell>
          <cell r="H83">
            <v>10</v>
          </cell>
          <cell r="I83">
            <v>1</v>
          </cell>
          <cell r="J83">
            <v>1</v>
          </cell>
          <cell r="K83">
            <v>2</v>
          </cell>
          <cell r="L83" t="str">
            <v>{1,2}</v>
          </cell>
          <cell r="M83" t="str">
            <v>skill3</v>
          </cell>
          <cell r="N83">
            <v>17</v>
          </cell>
          <cell r="O83" t="str">
            <v>{{1,545}|{2,109}|{3,2727}|{4,600}|{5,15000}|{6,9000}|{7,0}|{8,10000}|{9,10000}|{10,3623}|{11,0}|{12,0}}</v>
          </cell>
          <cell r="P83">
            <v>1000</v>
          </cell>
          <cell r="Q83">
            <v>300</v>
          </cell>
          <cell r="R83">
            <v>2393</v>
          </cell>
          <cell r="S83" t="str">
            <v>{40382,40381,40383,40384,40385,40386,40387}</v>
          </cell>
          <cell r="T83">
            <v>94038</v>
          </cell>
          <cell r="U83">
            <v>6</v>
          </cell>
        </row>
        <row r="83">
          <cell r="W83">
            <v>4038</v>
          </cell>
          <cell r="X83">
            <v>114038</v>
          </cell>
          <cell r="Y83">
            <v>1</v>
          </cell>
          <cell r="Z83" t="b">
            <v>1</v>
          </cell>
        </row>
        <row r="83">
          <cell r="AB83" t="str">
            <v>{240381,240382,240383}</v>
          </cell>
          <cell r="AC83" t="str">
            <v>240381</v>
          </cell>
        </row>
        <row r="84">
          <cell r="A84">
            <v>4039</v>
          </cell>
          <cell r="B84" t="str">
            <v>司天</v>
          </cell>
          <cell r="C84">
            <v>4</v>
          </cell>
          <cell r="D84">
            <v>104039</v>
          </cell>
          <cell r="E84" t="str">
            <v>head_4039</v>
          </cell>
          <cell r="F84">
            <v>1</v>
          </cell>
          <cell r="G84">
            <v>5</v>
          </cell>
          <cell r="H84">
            <v>10</v>
          </cell>
          <cell r="I84">
            <v>2</v>
          </cell>
          <cell r="J84">
            <v>3</v>
          </cell>
          <cell r="K84">
            <v>1</v>
          </cell>
          <cell r="L84" t="str">
            <v>{4,5}</v>
          </cell>
          <cell r="M84" t="str">
            <v>skill3</v>
          </cell>
          <cell r="N84">
            <v>17</v>
          </cell>
          <cell r="O84" t="str">
            <v>{{1,338}|{2,98}|{3,3272}|{4,600}|{5,15000}|{6,9000}|{7,0}|{8,10000}|{9,10000}|{10,3622}|{11,0}|{12,0}}</v>
          </cell>
          <cell r="P84">
            <v>1200</v>
          </cell>
          <cell r="Q84">
            <v>600</v>
          </cell>
          <cell r="R84">
            <v>2393</v>
          </cell>
          <cell r="S84" t="str">
            <v>{40392,40391,40393,40394,40395,40396,40397}</v>
          </cell>
          <cell r="T84">
            <v>94039</v>
          </cell>
          <cell r="U84">
            <v>5</v>
          </cell>
        </row>
        <row r="84">
          <cell r="W84">
            <v>4039</v>
          </cell>
          <cell r="X84">
            <v>114039</v>
          </cell>
          <cell r="Y84">
            <v>1</v>
          </cell>
          <cell r="Z84" t="b">
            <v>1</v>
          </cell>
        </row>
        <row r="84">
          <cell r="AB84" t="str">
            <v>{240391,240392,240393}</v>
          </cell>
          <cell r="AC84" t="str">
            <v>240391</v>
          </cell>
        </row>
        <row r="85">
          <cell r="A85">
            <v>4040</v>
          </cell>
          <cell r="B85" t="str">
            <v>狂刑</v>
          </cell>
          <cell r="C85">
            <v>4</v>
          </cell>
          <cell r="D85">
            <v>104040</v>
          </cell>
          <cell r="E85" t="str">
            <v>head_4040</v>
          </cell>
          <cell r="F85">
            <v>1</v>
          </cell>
          <cell r="G85">
            <v>5</v>
          </cell>
          <cell r="H85">
            <v>10</v>
          </cell>
          <cell r="I85">
            <v>1</v>
          </cell>
          <cell r="J85">
            <v>2</v>
          </cell>
          <cell r="K85">
            <v>3</v>
          </cell>
          <cell r="L85" t="str">
            <v>{2,3}</v>
          </cell>
          <cell r="M85" t="str">
            <v>skill3</v>
          </cell>
          <cell r="N85">
            <v>17</v>
          </cell>
          <cell r="O85" t="str">
            <v>{{1,305}|{2,130}|{3,4036}|{4,600}|{5,15000}|{6,9000}|{7,0}|{8,10000}|{9,10000}|{10,3623}|{11,0}|{12,0}}</v>
          </cell>
          <cell r="P85">
            <v>1000</v>
          </cell>
          <cell r="Q85">
            <v>300</v>
          </cell>
          <cell r="R85">
            <v>2393</v>
          </cell>
          <cell r="S85" t="str">
            <v>{40402,40401,40403,40404,40405,40406,40407}</v>
          </cell>
          <cell r="T85">
            <v>94040</v>
          </cell>
          <cell r="U85">
            <v>7</v>
          </cell>
        </row>
        <row r="85">
          <cell r="W85">
            <v>4040</v>
          </cell>
          <cell r="X85">
            <v>114040</v>
          </cell>
          <cell r="Y85">
            <v>1</v>
          </cell>
          <cell r="Z85" t="b">
            <v>1</v>
          </cell>
        </row>
        <row r="85">
          <cell r="AB85" t="str">
            <v>{240401,240402,240403}</v>
          </cell>
          <cell r="AC85" t="str">
            <v>240401</v>
          </cell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Export3"/>
    </sheetNames>
    <definedNames>
      <definedName name="LKnum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T258"/>
  <sheetViews>
    <sheetView tabSelected="1" zoomScale="85" zoomScaleNormal="85" workbookViewId="0">
      <pane xSplit="1" ySplit="5" topLeftCell="B236" activePane="bottomRight" state="frozen"/>
      <selection/>
      <selection pane="topRight"/>
      <selection pane="bottomLeft"/>
      <selection pane="bottomRight" activeCell="F262" sqref="F262"/>
    </sheetView>
  </sheetViews>
  <sheetFormatPr defaultColWidth="9" defaultRowHeight="14.25"/>
  <cols>
    <col min="1" max="1" width="9.375" style="18" customWidth="1"/>
    <col min="2" max="2" width="9.125" style="19"/>
    <col min="3" max="3" width="13" style="18" customWidth="1"/>
    <col min="4" max="4" width="17.875" style="18" customWidth="1"/>
    <col min="5" max="5" width="18.875" style="18" customWidth="1"/>
    <col min="6" max="6" width="53" style="20" customWidth="1"/>
    <col min="7" max="7" width="19.875" style="18" customWidth="1"/>
    <col min="8" max="8" width="11" style="18" customWidth="1"/>
    <col min="9" max="9" width="10.375" style="18" customWidth="1"/>
    <col min="10" max="10" width="13.125" style="18" customWidth="1"/>
    <col min="11" max="11" width="46.25" style="18" hidden="1" customWidth="1"/>
    <col min="12" max="12" width="9.75" style="21" customWidth="1"/>
    <col min="13" max="18" width="9" style="22"/>
    <col min="19" max="16384" width="9" style="23"/>
  </cols>
  <sheetData>
    <row r="1" ht="30" customHeight="1" spans="1:10">
      <c r="A1" s="18" t="s">
        <v>0</v>
      </c>
      <c r="B1" s="18" t="s">
        <v>1</v>
      </c>
      <c r="C1" s="18" t="s">
        <v>2</v>
      </c>
      <c r="D1" s="24" t="s">
        <v>3</v>
      </c>
      <c r="E1" s="24" t="s">
        <v>4</v>
      </c>
      <c r="F1" s="20" t="s">
        <v>5</v>
      </c>
      <c r="G1" s="18" t="s">
        <v>6</v>
      </c>
      <c r="H1" s="18" t="s">
        <v>7</v>
      </c>
      <c r="I1" s="18" t="s">
        <v>8</v>
      </c>
      <c r="J1" s="18" t="s">
        <v>9</v>
      </c>
    </row>
    <row r="2" spans="2:2">
      <c r="B2" s="18"/>
    </row>
    <row r="3" spans="1:9">
      <c r="A3" s="18" t="s">
        <v>0</v>
      </c>
      <c r="B3" s="18" t="s">
        <v>10</v>
      </c>
      <c r="C3" s="18" t="s">
        <v>11</v>
      </c>
      <c r="D3" s="18" t="s">
        <v>12</v>
      </c>
      <c r="E3" s="18" t="s">
        <v>13</v>
      </c>
      <c r="F3" s="20" t="s">
        <v>14</v>
      </c>
      <c r="G3" s="18" t="s">
        <v>15</v>
      </c>
      <c r="H3" s="18" t="s">
        <v>7</v>
      </c>
      <c r="I3" s="18" t="s">
        <v>16</v>
      </c>
    </row>
    <row r="4" spans="1:9">
      <c r="A4" s="18" t="s">
        <v>17</v>
      </c>
      <c r="B4" s="18" t="s">
        <v>18</v>
      </c>
      <c r="C4" s="18" t="s">
        <v>18</v>
      </c>
      <c r="F4" s="20" t="s">
        <v>18</v>
      </c>
      <c r="G4" s="18" t="s">
        <v>18</v>
      </c>
      <c r="H4" s="18" t="s">
        <v>18</v>
      </c>
      <c r="I4" s="18" t="s">
        <v>18</v>
      </c>
    </row>
    <row r="5" ht="28.5" spans="1:18">
      <c r="A5" s="18" t="s">
        <v>19</v>
      </c>
      <c r="B5" s="18" t="s">
        <v>19</v>
      </c>
      <c r="C5" s="18" t="s">
        <v>19</v>
      </c>
      <c r="D5" s="18" t="s">
        <v>20</v>
      </c>
      <c r="E5" s="18" t="s">
        <v>20</v>
      </c>
      <c r="F5" s="20" t="s">
        <v>21</v>
      </c>
      <c r="G5" s="25" t="s">
        <v>22</v>
      </c>
      <c r="H5" s="18" t="s">
        <v>22</v>
      </c>
      <c r="I5" s="18" t="s">
        <v>23</v>
      </c>
      <c r="L5" s="32" t="s">
        <v>24</v>
      </c>
      <c r="M5" s="33" t="s">
        <v>25</v>
      </c>
      <c r="N5" s="33" t="s">
        <v>26</v>
      </c>
      <c r="O5" s="33" t="s">
        <v>27</v>
      </c>
      <c r="P5" s="33" t="s">
        <v>28</v>
      </c>
      <c r="Q5" s="33" t="s">
        <v>29</v>
      </c>
      <c r="R5" s="33" t="s">
        <v>30</v>
      </c>
    </row>
    <row r="6" spans="1:20">
      <c r="A6" s="26">
        <v>1000</v>
      </c>
      <c r="B6" s="27">
        <v>101000</v>
      </c>
      <c r="C6" s="19">
        <v>1000</v>
      </c>
      <c r="D6" s="19">
        <v>0</v>
      </c>
      <c r="E6" s="28">
        <v>24624</v>
      </c>
      <c r="F6" s="20" t="s">
        <v>31</v>
      </c>
      <c r="J6" s="19" t="s">
        <v>32</v>
      </c>
      <c r="K6" s="18" t="s">
        <v>33</v>
      </c>
      <c r="L6" s="22">
        <f>VLOOKUP(C6,[1]Sheet1!$A$1:$K$85,11,0)</f>
        <v>4</v>
      </c>
      <c r="M6" s="22">
        <f>VLOOKUP(C6,[1]Sheet1!$A$1:$K$85,3,0)</f>
        <v>1</v>
      </c>
      <c r="N6" s="22">
        <f>VLOOKUP(C6,[1]Sheet1!$A$1:$AH$85,34,0)</f>
        <v>0</v>
      </c>
      <c r="O6" s="22" t="str">
        <f>MID(VLOOKUP(C6,[1]Sheet1!$A$1:$AH$85,12,0),2,1)</f>
        <v>1</v>
      </c>
      <c r="P6" s="22" t="str">
        <f>MID(VLOOKUP(C6,[1]Sheet1!$A$1:$AH$85,12,0),4,1)</f>
        <v/>
      </c>
      <c r="Q6" s="22" t="str">
        <f>MID(VLOOKUP(C6,[1]Sheet1!$A$1:$AH$85,12,0),6,1)</f>
        <v/>
      </c>
      <c r="R6" s="22" t="str">
        <f>MID(VLOOKUP(C6,[1]Sheet1!$A$1:$AH$85,12,0),8,1)</f>
        <v/>
      </c>
      <c r="T6" s="23" t="s">
        <v>34</v>
      </c>
    </row>
    <row r="7" spans="1:20">
      <c r="A7" s="26">
        <v>1001</v>
      </c>
      <c r="B7" s="27">
        <v>101001</v>
      </c>
      <c r="C7" s="19">
        <v>1001</v>
      </c>
      <c r="D7" s="19">
        <v>0</v>
      </c>
      <c r="E7" s="28">
        <v>33832</v>
      </c>
      <c r="F7" s="20" t="s">
        <v>35</v>
      </c>
      <c r="J7" s="19" t="s">
        <v>36</v>
      </c>
      <c r="K7" s="34" t="s">
        <v>37</v>
      </c>
      <c r="L7" s="22">
        <f>VLOOKUP(C7,[1]Sheet1!$A$1:$K$85,11,0)</f>
        <v>3</v>
      </c>
      <c r="M7" s="22">
        <f>VLOOKUP(C7,[1]Sheet1!$A$1:$K$85,3,0)</f>
        <v>1</v>
      </c>
      <c r="N7" s="22">
        <f>VLOOKUP(C7,[1]Sheet1!$A$1:$AH$85,34,0)</f>
        <v>0</v>
      </c>
      <c r="O7" s="22" t="str">
        <f>MID(VLOOKUP(C7,[1]Sheet1!$A$1:$AH$85,12,0),2,1)</f>
        <v>2</v>
      </c>
      <c r="P7" s="22" t="str">
        <f>MID(VLOOKUP(C7,[1]Sheet1!$A$1:$AH$85,12,0),4,1)</f>
        <v/>
      </c>
      <c r="Q7" s="22" t="str">
        <f>MID(VLOOKUP(C7,[1]Sheet1!$A$1:$AH$85,12,0),6,1)</f>
        <v/>
      </c>
      <c r="R7" s="22" t="str">
        <f>MID(VLOOKUP(C7,[1]Sheet1!$A$1:$AH$85,12,0),8,1)</f>
        <v/>
      </c>
      <c r="T7" s="23" t="s">
        <v>38</v>
      </c>
    </row>
    <row r="8" spans="1:20">
      <c r="A8" s="26">
        <v>1002</v>
      </c>
      <c r="B8" s="27">
        <v>101002</v>
      </c>
      <c r="C8" s="19">
        <v>1002</v>
      </c>
      <c r="D8" s="19">
        <v>0</v>
      </c>
      <c r="E8" s="29">
        <v>1065508</v>
      </c>
      <c r="F8" s="20" t="s">
        <v>39</v>
      </c>
      <c r="J8" s="19" t="s">
        <v>40</v>
      </c>
      <c r="K8" s="34" t="s">
        <v>41</v>
      </c>
      <c r="L8" s="22">
        <f>VLOOKUP(C8,[1]Sheet1!$A$1:$K$85,11,0)</f>
        <v>2</v>
      </c>
      <c r="M8" s="22">
        <f>VLOOKUP(C8,[1]Sheet1!$A$1:$K$85,3,0)</f>
        <v>1</v>
      </c>
      <c r="N8" s="22">
        <f>VLOOKUP(C8,[1]Sheet1!$A$1:$AH$85,34,0)</f>
        <v>0</v>
      </c>
      <c r="O8" s="22" t="str">
        <f>MID(VLOOKUP(C8,[1]Sheet1!$A$1:$AH$85,12,0),2,1)</f>
        <v>1</v>
      </c>
      <c r="P8" s="22" t="str">
        <f>MID(VLOOKUP(C8,[1]Sheet1!$A$1:$AH$85,12,0),4,1)</f>
        <v>7</v>
      </c>
      <c r="Q8" s="22" t="str">
        <f>MID(VLOOKUP(C8,[1]Sheet1!$A$1:$AH$85,12,0),6,1)</f>
        <v/>
      </c>
      <c r="R8" s="22" t="str">
        <f>MID(VLOOKUP(C8,[1]Sheet1!$A$1:$AH$85,12,0),8,1)</f>
        <v/>
      </c>
      <c r="T8" s="23" t="s">
        <v>42</v>
      </c>
    </row>
    <row r="9" spans="1:20">
      <c r="A9" s="26">
        <v>1003</v>
      </c>
      <c r="B9" s="27">
        <v>101003</v>
      </c>
      <c r="C9" s="19">
        <v>1003</v>
      </c>
      <c r="D9" s="19">
        <v>0</v>
      </c>
      <c r="E9" s="28">
        <v>16936</v>
      </c>
      <c r="F9" s="20" t="s">
        <v>39</v>
      </c>
      <c r="J9" s="19" t="s">
        <v>43</v>
      </c>
      <c r="K9" s="34" t="s">
        <v>44</v>
      </c>
      <c r="L9" s="22">
        <f>VLOOKUP(C9,[1]Sheet1!$A$1:$K$85,11,0)</f>
        <v>3</v>
      </c>
      <c r="M9" s="22">
        <f>VLOOKUP(C9,[1]Sheet1!$A$1:$K$85,3,0)</f>
        <v>1</v>
      </c>
      <c r="N9" s="22">
        <f>VLOOKUP(C9,[1]Sheet1!$A$1:$AH$85,34,0)</f>
        <v>0</v>
      </c>
      <c r="O9" s="22" t="str">
        <f>MID(VLOOKUP(C9,[1]Sheet1!$A$1:$AH$85,12,0),2,1)</f>
        <v>1</v>
      </c>
      <c r="P9" s="22" t="str">
        <f>MID(VLOOKUP(C9,[1]Sheet1!$A$1:$AH$85,12,0),4,1)</f>
        <v/>
      </c>
      <c r="Q9" s="22" t="str">
        <f>MID(VLOOKUP(C9,[1]Sheet1!$A$1:$AH$85,12,0),6,1)</f>
        <v/>
      </c>
      <c r="R9" s="22" t="str">
        <f>MID(VLOOKUP(C9,[1]Sheet1!$A$1:$AH$85,12,0),8,1)</f>
        <v/>
      </c>
      <c r="T9" s="23" t="s">
        <v>45</v>
      </c>
    </row>
    <row r="10" spans="1:20">
      <c r="A10" s="26">
        <v>1005</v>
      </c>
      <c r="B10" s="27">
        <v>101005</v>
      </c>
      <c r="C10" s="19">
        <v>1005</v>
      </c>
      <c r="D10" s="19">
        <v>0</v>
      </c>
      <c r="E10" s="28">
        <v>528420</v>
      </c>
      <c r="F10" s="20" t="s">
        <v>31</v>
      </c>
      <c r="J10" s="19" t="s">
        <v>46</v>
      </c>
      <c r="K10" s="18" t="s">
        <v>47</v>
      </c>
      <c r="L10" s="22">
        <f>VLOOKUP(C10,[1]Sheet1!$A$1:$K$85,11,0)</f>
        <v>2</v>
      </c>
      <c r="M10" s="22">
        <f>VLOOKUP(C10,[1]Sheet1!$A$1:$K$85,3,0)</f>
        <v>1</v>
      </c>
      <c r="N10" s="22">
        <f>VLOOKUP(C10,[1]Sheet1!$A$1:$AH$85,34,0)</f>
        <v>0</v>
      </c>
      <c r="O10" s="22" t="str">
        <f>MID(VLOOKUP(C10,[1]Sheet1!$A$1:$AH$85,12,0),2,1)</f>
        <v>6</v>
      </c>
      <c r="P10" s="22" t="str">
        <f>MID(VLOOKUP(C10,[1]Sheet1!$A$1:$AH$85,12,0),4,1)</f>
        <v/>
      </c>
      <c r="Q10" s="22" t="str">
        <f>MID(VLOOKUP(C10,[1]Sheet1!$A$1:$AH$85,12,0),6,1)</f>
        <v/>
      </c>
      <c r="R10" s="22" t="str">
        <f>MID(VLOOKUP(C10,[1]Sheet1!$A$1:$AH$85,12,0),8,1)</f>
        <v/>
      </c>
      <c r="T10" s="23" t="s">
        <v>48</v>
      </c>
    </row>
    <row r="11" spans="1:20">
      <c r="A11" s="26">
        <v>1006</v>
      </c>
      <c r="B11" s="27">
        <v>101006</v>
      </c>
      <c r="C11" s="19">
        <v>1006</v>
      </c>
      <c r="D11" s="19">
        <v>0</v>
      </c>
      <c r="E11" s="28">
        <v>1050658</v>
      </c>
      <c r="F11" s="20" t="s">
        <v>49</v>
      </c>
      <c r="J11" s="19" t="s">
        <v>50</v>
      </c>
      <c r="K11" s="18" t="s">
        <v>51</v>
      </c>
      <c r="L11" s="22">
        <f>VLOOKUP(C11,[1]Sheet1!$A$1:$K$85,11,0)</f>
        <v>1</v>
      </c>
      <c r="M11" s="22">
        <f>VLOOKUP(C11,[1]Sheet1!$A$1:$K$85,3,0)</f>
        <v>1</v>
      </c>
      <c r="N11" s="22">
        <f>VLOOKUP(C11,[1]Sheet1!$A$1:$AH$85,34,0)</f>
        <v>0</v>
      </c>
      <c r="O11" s="22" t="str">
        <f>MID(VLOOKUP(C11,[1]Sheet1!$A$1:$AH$85,12,0),2,1)</f>
        <v>7</v>
      </c>
      <c r="P11" s="22" t="str">
        <f>MID(VLOOKUP(C11,[1]Sheet1!$A$1:$AH$85,12,0),4,1)</f>
        <v/>
      </c>
      <c r="Q11" s="22" t="str">
        <f>MID(VLOOKUP(C11,[1]Sheet1!$A$1:$AH$85,12,0),6,1)</f>
        <v/>
      </c>
      <c r="R11" s="22" t="str">
        <f>MID(VLOOKUP(C11,[1]Sheet1!$A$1:$AH$85,12,0),8,1)</f>
        <v/>
      </c>
      <c r="T11" s="23" t="s">
        <v>52</v>
      </c>
    </row>
    <row r="12" spans="1:20">
      <c r="A12" s="26">
        <v>1007</v>
      </c>
      <c r="B12" s="27">
        <v>101007</v>
      </c>
      <c r="C12" s="19">
        <v>1007</v>
      </c>
      <c r="D12" s="19">
        <v>0</v>
      </c>
      <c r="E12" s="28">
        <v>36898</v>
      </c>
      <c r="F12" s="20" t="s">
        <v>31</v>
      </c>
      <c r="J12" s="19" t="s">
        <v>53</v>
      </c>
      <c r="K12" s="18" t="s">
        <v>54</v>
      </c>
      <c r="L12" s="22">
        <f>VLOOKUP(C12,[1]Sheet1!$A$1:$K$85,11,0)</f>
        <v>1</v>
      </c>
      <c r="M12" s="22">
        <f>VLOOKUP(C12,[1]Sheet1!$A$1:$K$85,3,0)</f>
        <v>1</v>
      </c>
      <c r="N12" s="22">
        <f>VLOOKUP(C12,[1]Sheet1!$A$1:$AH$85,34,0)</f>
        <v>0</v>
      </c>
      <c r="O12" s="22" t="str">
        <f>MID(VLOOKUP(C12,[1]Sheet1!$A$1:$AH$85,12,0),2,1)</f>
        <v>2</v>
      </c>
      <c r="P12" s="22" t="str">
        <f>MID(VLOOKUP(C12,[1]Sheet1!$A$1:$AH$85,12,0),4,1)</f>
        <v/>
      </c>
      <c r="Q12" s="22" t="str">
        <f>MID(VLOOKUP(C12,[1]Sheet1!$A$1:$AH$85,12,0),6,1)</f>
        <v/>
      </c>
      <c r="R12" s="22" t="str">
        <f>MID(VLOOKUP(C12,[1]Sheet1!$A$1:$AH$85,12,0),8,1)</f>
        <v/>
      </c>
      <c r="T12" s="23" t="s">
        <v>55</v>
      </c>
    </row>
    <row r="13" spans="1:20">
      <c r="A13" s="26">
        <v>1010</v>
      </c>
      <c r="B13" s="27">
        <v>101010</v>
      </c>
      <c r="C13" s="19">
        <v>1010</v>
      </c>
      <c r="D13" s="19">
        <v>0</v>
      </c>
      <c r="E13" s="28">
        <v>525380</v>
      </c>
      <c r="F13" s="20" t="s">
        <v>56</v>
      </c>
      <c r="J13" s="19" t="s">
        <v>57</v>
      </c>
      <c r="K13" s="34" t="s">
        <v>58</v>
      </c>
      <c r="L13" s="22">
        <f>VLOOKUP(C13,[1]Sheet1!$A$1:$K$85,11,0)</f>
        <v>2</v>
      </c>
      <c r="M13" s="22">
        <f>VLOOKUP(C13,[1]Sheet1!$A$1:$K$85,3,0)</f>
        <v>2</v>
      </c>
      <c r="N13" s="22">
        <f>VLOOKUP(C13,[1]Sheet1!$A$1:$AH$85,34,0)</f>
        <v>0</v>
      </c>
      <c r="O13" s="22" t="str">
        <f>MID(VLOOKUP(C13,[1]Sheet1!$A$1:$AH$85,12,0),2,1)</f>
        <v>6</v>
      </c>
      <c r="P13" s="22" t="str">
        <f>MID(VLOOKUP(C13,[1]Sheet1!$A$1:$AH$85,12,0),4,1)</f>
        <v/>
      </c>
      <c r="Q13" s="22" t="str">
        <f>MID(VLOOKUP(C13,[1]Sheet1!$A$1:$AH$85,12,0),6,1)</f>
        <v/>
      </c>
      <c r="R13" s="22" t="str">
        <f>MID(VLOOKUP(C13,[1]Sheet1!$A$1:$AH$85,12,0),8,1)</f>
        <v/>
      </c>
      <c r="T13" s="23" t="s">
        <v>59</v>
      </c>
    </row>
    <row r="14" spans="1:20">
      <c r="A14" s="26">
        <v>1011</v>
      </c>
      <c r="B14" s="27">
        <v>101011</v>
      </c>
      <c r="C14" s="19">
        <v>1011</v>
      </c>
      <c r="D14" s="19">
        <v>0</v>
      </c>
      <c r="E14" s="28">
        <v>132162</v>
      </c>
      <c r="F14" s="20" t="s">
        <v>56</v>
      </c>
      <c r="J14" s="19" t="s">
        <v>60</v>
      </c>
      <c r="K14" s="18" t="s">
        <v>61</v>
      </c>
      <c r="L14" s="22">
        <f>VLOOKUP(C14,[1]Sheet1!$A$1:$K$85,11,0)</f>
        <v>1</v>
      </c>
      <c r="M14" s="22">
        <f>VLOOKUP(C14,[1]Sheet1!$A$1:$K$85,3,0)</f>
        <v>2</v>
      </c>
      <c r="N14" s="22">
        <f>VLOOKUP(C14,[1]Sheet1!$A$1:$AH$85,34,0)</f>
        <v>0</v>
      </c>
      <c r="O14" s="22" t="str">
        <f>MID(VLOOKUP(C14,[1]Sheet1!$A$1:$AH$85,12,0),2,1)</f>
        <v>4</v>
      </c>
      <c r="P14" s="22" t="str">
        <f>MID(VLOOKUP(C14,[1]Sheet1!$A$1:$AH$85,12,0),4,1)</f>
        <v/>
      </c>
      <c r="Q14" s="22" t="str">
        <f>MID(VLOOKUP(C14,[1]Sheet1!$A$1:$AH$85,12,0),6,1)</f>
        <v/>
      </c>
      <c r="R14" s="22" t="str">
        <f>MID(VLOOKUP(C14,[1]Sheet1!$A$1:$AH$85,12,0),8,1)</f>
        <v/>
      </c>
      <c r="T14" s="23" t="s">
        <v>62</v>
      </c>
    </row>
    <row r="15" spans="1:20">
      <c r="A15" s="26">
        <v>1012</v>
      </c>
      <c r="B15" s="27">
        <v>101012</v>
      </c>
      <c r="C15" s="19">
        <v>1012</v>
      </c>
      <c r="D15" s="19">
        <v>0</v>
      </c>
      <c r="E15" s="19">
        <v>41028</v>
      </c>
      <c r="F15" s="20" t="s">
        <v>63</v>
      </c>
      <c r="J15" s="19" t="s">
        <v>64</v>
      </c>
      <c r="K15" s="34" t="s">
        <v>65</v>
      </c>
      <c r="L15" s="22">
        <f>VLOOKUP(C15,[1]Sheet1!$A$1:$K$85,11,0)</f>
        <v>2</v>
      </c>
      <c r="M15" s="22">
        <f>VLOOKUP(C15,[1]Sheet1!$A$1:$K$85,3,0)</f>
        <v>2</v>
      </c>
      <c r="N15" s="22">
        <f>VLOOKUP(C15,[1]Sheet1!$A$1:$AH$85,34,0)</f>
        <v>0</v>
      </c>
      <c r="O15" s="22" t="str">
        <f>MID(VLOOKUP(C15,[1]Sheet1!$A$1:$AH$85,12,0),2,1)</f>
        <v>2</v>
      </c>
      <c r="P15" s="22" t="str">
        <f>MID(VLOOKUP(C15,[1]Sheet1!$A$1:$AH$85,12,0),4,1)</f>
        <v/>
      </c>
      <c r="Q15" s="22" t="str">
        <f>MID(VLOOKUP(C15,[1]Sheet1!$A$1:$AH$85,12,0),6,1)</f>
        <v/>
      </c>
      <c r="R15" s="22" t="str">
        <f>MID(VLOOKUP(C15,[1]Sheet1!$A$1:$AH$85,12,0),8,1)</f>
        <v/>
      </c>
      <c r="T15" s="23" t="s">
        <v>66</v>
      </c>
    </row>
    <row r="16" spans="1:20">
      <c r="A16" s="26">
        <v>1013</v>
      </c>
      <c r="B16" s="27">
        <v>101013</v>
      </c>
      <c r="C16" s="19">
        <v>1013</v>
      </c>
      <c r="D16" s="19">
        <v>0</v>
      </c>
      <c r="E16" s="19">
        <v>16964</v>
      </c>
      <c r="F16" s="20" t="s">
        <v>67</v>
      </c>
      <c r="J16" s="19" t="s">
        <v>68</v>
      </c>
      <c r="K16" s="18" t="s">
        <v>69</v>
      </c>
      <c r="L16" s="22">
        <f>VLOOKUP(C16,[1]Sheet1!$A$1:$K$85,11,0)</f>
        <v>2</v>
      </c>
      <c r="M16" s="22">
        <f>VLOOKUP(C16,[1]Sheet1!$A$1:$K$85,3,0)</f>
        <v>2</v>
      </c>
      <c r="N16" s="22">
        <f>VLOOKUP(C16,[1]Sheet1!$A$1:$AH$85,34,0)</f>
        <v>0</v>
      </c>
      <c r="O16" s="22" t="str">
        <f>MID(VLOOKUP(C16,[1]Sheet1!$A$1:$AH$85,12,0),2,1)</f>
        <v>1</v>
      </c>
      <c r="P16" s="22" t="str">
        <f>MID(VLOOKUP(C16,[1]Sheet1!$A$1:$AH$85,12,0),4,1)</f>
        <v/>
      </c>
      <c r="Q16" s="22" t="str">
        <f>MID(VLOOKUP(C16,[1]Sheet1!$A$1:$AH$85,12,0),6,1)</f>
        <v/>
      </c>
      <c r="R16" s="22" t="str">
        <f>MID(VLOOKUP(C16,[1]Sheet1!$A$1:$AH$85,12,0),8,1)</f>
        <v/>
      </c>
      <c r="T16" s="23" t="s">
        <v>70</v>
      </c>
    </row>
    <row r="17" spans="1:20">
      <c r="A17" s="26">
        <v>1014</v>
      </c>
      <c r="B17" s="27">
        <v>101014</v>
      </c>
      <c r="C17" s="19">
        <v>1014</v>
      </c>
      <c r="D17" s="19">
        <v>0</v>
      </c>
      <c r="E17" s="19">
        <v>36930</v>
      </c>
      <c r="F17" s="20" t="s">
        <v>71</v>
      </c>
      <c r="J17" s="19" t="s">
        <v>72</v>
      </c>
      <c r="K17" s="18" t="s">
        <v>73</v>
      </c>
      <c r="L17" s="22">
        <f>VLOOKUP(C17,[1]Sheet1!$A$1:$K$85,11,0)</f>
        <v>1</v>
      </c>
      <c r="M17" s="22">
        <f>VLOOKUP(C17,[1]Sheet1!$A$1:$K$85,3,0)</f>
        <v>2</v>
      </c>
      <c r="N17" s="22">
        <f>VLOOKUP(C17,[1]Sheet1!$A$1:$AH$85,34,0)</f>
        <v>0</v>
      </c>
      <c r="O17" s="22" t="str">
        <f>MID(VLOOKUP(C17,[1]Sheet1!$A$1:$AH$85,12,0),2,1)</f>
        <v>2</v>
      </c>
      <c r="P17" s="22" t="str">
        <f>MID(VLOOKUP(C17,[1]Sheet1!$A$1:$AH$85,12,0),4,1)</f>
        <v/>
      </c>
      <c r="Q17" s="22" t="str">
        <f>MID(VLOOKUP(C17,[1]Sheet1!$A$1:$AH$85,12,0),6,1)</f>
        <v/>
      </c>
      <c r="R17" s="22" t="str">
        <f>MID(VLOOKUP(C17,[1]Sheet1!$A$1:$AH$85,12,0),8,1)</f>
        <v/>
      </c>
      <c r="T17" s="23" t="s">
        <v>74</v>
      </c>
    </row>
    <row r="18" spans="1:20">
      <c r="A18" s="26">
        <v>1015</v>
      </c>
      <c r="B18" s="27">
        <v>101015</v>
      </c>
      <c r="C18" s="19">
        <v>1015</v>
      </c>
      <c r="D18" s="19">
        <v>0</v>
      </c>
      <c r="E18" s="19">
        <v>36930</v>
      </c>
      <c r="F18" s="20" t="s">
        <v>71</v>
      </c>
      <c r="J18" s="19" t="s">
        <v>75</v>
      </c>
      <c r="K18" s="18" t="s">
        <v>76</v>
      </c>
      <c r="L18" s="22">
        <f>VLOOKUP(C18,[1]Sheet1!$A$1:$K$85,11,0)</f>
        <v>1</v>
      </c>
      <c r="M18" s="22">
        <f>VLOOKUP(C18,[1]Sheet1!$A$1:$K$85,3,0)</f>
        <v>2</v>
      </c>
      <c r="N18" s="22">
        <f>VLOOKUP(C18,[1]Sheet1!$A$1:$AH$85,34,0)</f>
        <v>0</v>
      </c>
      <c r="O18" s="22" t="str">
        <f>MID(VLOOKUP(C18,[1]Sheet1!$A$1:$AH$85,12,0),2,1)</f>
        <v>2</v>
      </c>
      <c r="P18" s="22" t="str">
        <f>MID(VLOOKUP(C18,[1]Sheet1!$A$1:$AH$85,12,0),4,1)</f>
        <v/>
      </c>
      <c r="Q18" s="22" t="str">
        <f>MID(VLOOKUP(C18,[1]Sheet1!$A$1:$AH$85,12,0),6,1)</f>
        <v/>
      </c>
      <c r="R18" s="22" t="str">
        <f>MID(VLOOKUP(C18,[1]Sheet1!$A$1:$AH$85,12,0),8,1)</f>
        <v/>
      </c>
      <c r="T18" s="23" t="s">
        <v>74</v>
      </c>
    </row>
    <row r="19" spans="1:20">
      <c r="A19" s="26">
        <v>1017</v>
      </c>
      <c r="B19" s="27">
        <v>101017</v>
      </c>
      <c r="C19" s="19">
        <v>1017</v>
      </c>
      <c r="D19" s="19">
        <v>0</v>
      </c>
      <c r="E19" s="19">
        <v>33840</v>
      </c>
      <c r="F19" s="20" t="s">
        <v>39</v>
      </c>
      <c r="J19" s="19" t="s">
        <v>77</v>
      </c>
      <c r="K19" s="18" t="s">
        <v>78</v>
      </c>
      <c r="L19" s="22">
        <f>VLOOKUP(C19,[1]Sheet1!$A$1:$K$85,11,0)</f>
        <v>4</v>
      </c>
      <c r="M19" s="22">
        <f>VLOOKUP(C19,[1]Sheet1!$A$1:$K$85,3,0)</f>
        <v>1</v>
      </c>
      <c r="N19" s="22">
        <f>VLOOKUP(C19,[1]Sheet1!$A$1:$AH$85,34,0)</f>
        <v>0</v>
      </c>
      <c r="O19" s="22" t="str">
        <f>MID(VLOOKUP(C19,[1]Sheet1!$A$1:$AH$85,12,0),2,1)</f>
        <v>2</v>
      </c>
      <c r="P19" s="22" t="str">
        <f>MID(VLOOKUP(C19,[1]Sheet1!$A$1:$AH$85,12,0),4,1)</f>
        <v/>
      </c>
      <c r="Q19" s="22" t="str">
        <f>MID(VLOOKUP(C19,[1]Sheet1!$A$1:$AH$85,12,0),6,1)</f>
        <v/>
      </c>
      <c r="R19" s="22" t="str">
        <f>MID(VLOOKUP(C19,[1]Sheet1!$A$1:$AH$85,12,0),8,1)</f>
        <v/>
      </c>
      <c r="T19" s="23" t="s">
        <v>79</v>
      </c>
    </row>
    <row r="20" spans="1:20">
      <c r="A20" s="26">
        <v>2000</v>
      </c>
      <c r="B20" s="27">
        <v>102000</v>
      </c>
      <c r="C20" s="19">
        <v>2000</v>
      </c>
      <c r="D20" s="19">
        <v>0</v>
      </c>
      <c r="E20" s="19">
        <v>36994</v>
      </c>
      <c r="F20" s="20" t="s">
        <v>80</v>
      </c>
      <c r="J20" s="35" t="s">
        <v>81</v>
      </c>
      <c r="K20" s="18" t="s">
        <v>82</v>
      </c>
      <c r="L20" s="22">
        <f>VLOOKUP(C20,[1]Sheet1!$A$1:$K$85,11,0)</f>
        <v>1</v>
      </c>
      <c r="M20" s="22">
        <f>VLOOKUP(C20,[1]Sheet1!$A$1:$K$85,3,0)</f>
        <v>3</v>
      </c>
      <c r="N20" s="22">
        <f>VLOOKUP(C20,[1]Sheet1!$A$1:$AH$85,34,0)</f>
        <v>0</v>
      </c>
      <c r="O20" s="22" t="str">
        <f>MID(VLOOKUP(C20,[1]Sheet1!$A$1:$AH$85,12,0),2,1)</f>
        <v>2</v>
      </c>
      <c r="P20" s="22" t="str">
        <f>MID(VLOOKUP(C20,[1]Sheet1!$A$1:$AH$85,12,0),4,1)</f>
        <v/>
      </c>
      <c r="Q20" s="22" t="str">
        <f>MID(VLOOKUP(C20,[1]Sheet1!$A$1:$AH$85,12,0),6,1)</f>
        <v/>
      </c>
      <c r="R20" s="22" t="str">
        <f>MID(VLOOKUP(C20,[1]Sheet1!$A$1:$AH$85,12,0),8,1)</f>
        <v/>
      </c>
      <c r="T20" s="23" t="s">
        <v>83</v>
      </c>
    </row>
    <row r="21" spans="1:20">
      <c r="A21" s="26">
        <v>2003</v>
      </c>
      <c r="B21" s="27">
        <v>102003</v>
      </c>
      <c r="C21" s="19">
        <v>2003</v>
      </c>
      <c r="D21" s="19">
        <v>0</v>
      </c>
      <c r="E21" s="19">
        <v>66690</v>
      </c>
      <c r="F21" s="20" t="s">
        <v>84</v>
      </c>
      <c r="J21" s="35" t="s">
        <v>85</v>
      </c>
      <c r="K21" s="18" t="s">
        <v>86</v>
      </c>
      <c r="L21" s="22">
        <f>VLOOKUP(C21,[1]Sheet1!$A$1:$K$85,11,0)</f>
        <v>1</v>
      </c>
      <c r="M21" s="22">
        <f>VLOOKUP(C21,[1]Sheet1!$A$1:$K$85,3,0)</f>
        <v>3</v>
      </c>
      <c r="N21" s="22">
        <f>VLOOKUP(C21,[1]Sheet1!$A$1:$AH$85,34,0)</f>
        <v>0</v>
      </c>
      <c r="O21" s="22" t="str">
        <f>MID(VLOOKUP(C21,[1]Sheet1!$A$1:$AH$85,12,0),2,1)</f>
        <v>3</v>
      </c>
      <c r="P21" s="22" t="str">
        <f>MID(VLOOKUP(C21,[1]Sheet1!$A$1:$AH$85,12,0),4,1)</f>
        <v/>
      </c>
      <c r="Q21" s="22" t="str">
        <f>MID(VLOOKUP(C21,[1]Sheet1!$A$1:$AH$85,12,0),6,1)</f>
        <v/>
      </c>
      <c r="R21" s="22" t="str">
        <f>MID(VLOOKUP(C21,[1]Sheet1!$A$1:$AH$85,12,0),8,1)</f>
        <v/>
      </c>
      <c r="T21" s="23" t="s">
        <v>87</v>
      </c>
    </row>
    <row r="22" spans="1:20">
      <c r="A22" s="26">
        <v>2004</v>
      </c>
      <c r="B22" s="27">
        <v>102004</v>
      </c>
      <c r="C22" s="19">
        <v>2004</v>
      </c>
      <c r="D22" s="19">
        <v>0</v>
      </c>
      <c r="E22" s="19">
        <v>559236</v>
      </c>
      <c r="F22" s="20" t="s">
        <v>88</v>
      </c>
      <c r="J22" s="35" t="s">
        <v>89</v>
      </c>
      <c r="K22" s="18" t="s">
        <v>90</v>
      </c>
      <c r="L22" s="22">
        <f>VLOOKUP(C22,[1]Sheet1!$A$1:$K$85,11,0)</f>
        <v>2</v>
      </c>
      <c r="M22" s="22">
        <f>VLOOKUP(C22,[1]Sheet1!$A$1:$K$85,3,0)</f>
        <v>3</v>
      </c>
      <c r="N22" s="22">
        <f>VLOOKUP(C22,[1]Sheet1!$A$1:$AH$85,34,0)</f>
        <v>0</v>
      </c>
      <c r="O22" s="22" t="str">
        <f>MID(VLOOKUP(C22,[1]Sheet1!$A$1:$AH$85,12,0),2,1)</f>
        <v>2</v>
      </c>
      <c r="P22" s="22" t="str">
        <f>MID(VLOOKUP(C22,[1]Sheet1!$A$1:$AH$85,12,0),4,1)</f>
        <v>6</v>
      </c>
      <c r="Q22" s="22" t="str">
        <f>MID(VLOOKUP(C22,[1]Sheet1!$A$1:$AH$85,12,0),6,1)</f>
        <v/>
      </c>
      <c r="R22" s="22" t="str">
        <f>MID(VLOOKUP(C22,[1]Sheet1!$A$1:$AH$85,12,0),8,1)</f>
        <v/>
      </c>
      <c r="T22" s="23" t="s">
        <v>91</v>
      </c>
    </row>
    <row r="23" spans="1:20">
      <c r="A23" s="26">
        <v>2005</v>
      </c>
      <c r="B23" s="27">
        <v>102005</v>
      </c>
      <c r="C23" s="19">
        <v>2005</v>
      </c>
      <c r="D23" s="19">
        <v>0</v>
      </c>
      <c r="E23" s="19">
        <v>1049732</v>
      </c>
      <c r="F23" s="20" t="s">
        <v>84</v>
      </c>
      <c r="J23" s="35" t="s">
        <v>92</v>
      </c>
      <c r="K23" s="18" t="s">
        <v>93</v>
      </c>
      <c r="L23" s="22">
        <f>VLOOKUP(C23,[1]Sheet1!$A$1:$K$85,11,0)</f>
        <v>2</v>
      </c>
      <c r="M23" s="22">
        <f>VLOOKUP(C23,[1]Sheet1!$A$1:$K$85,3,0)</f>
        <v>3</v>
      </c>
      <c r="N23" s="22">
        <f>VLOOKUP(C23,[1]Sheet1!$A$1:$AH$85,34,0)</f>
        <v>0</v>
      </c>
      <c r="O23" s="22" t="str">
        <f>MID(VLOOKUP(C23,[1]Sheet1!$A$1:$AH$85,12,0),2,1)</f>
        <v>7</v>
      </c>
      <c r="P23" s="22" t="str">
        <f>MID(VLOOKUP(C23,[1]Sheet1!$A$1:$AH$85,12,0),4,1)</f>
        <v/>
      </c>
      <c r="Q23" s="22" t="str">
        <f>MID(VLOOKUP(C23,[1]Sheet1!$A$1:$AH$85,12,0),6,1)</f>
        <v/>
      </c>
      <c r="R23" s="22" t="str">
        <f>MID(VLOOKUP(C23,[1]Sheet1!$A$1:$AH$85,12,0),8,1)</f>
        <v/>
      </c>
      <c r="T23" s="23" t="s">
        <v>94</v>
      </c>
    </row>
    <row r="24" spans="1:20">
      <c r="A24" s="26">
        <v>2006</v>
      </c>
      <c r="B24" s="27">
        <v>102006</v>
      </c>
      <c r="C24" s="19">
        <v>2006</v>
      </c>
      <c r="D24" s="19">
        <v>0</v>
      </c>
      <c r="E24" s="19">
        <v>1067088</v>
      </c>
      <c r="F24" s="20" t="s">
        <v>95</v>
      </c>
      <c r="J24" s="35" t="s">
        <v>96</v>
      </c>
      <c r="K24" s="18" t="s">
        <v>97</v>
      </c>
      <c r="L24" s="22">
        <f>VLOOKUP(C24,[1]Sheet1!$A$1:$K$85,11,0)</f>
        <v>4</v>
      </c>
      <c r="M24" s="22">
        <f>VLOOKUP(C24,[1]Sheet1!$A$1:$K$85,3,0)</f>
        <v>2</v>
      </c>
      <c r="N24" s="22">
        <f>VLOOKUP(C24,[1]Sheet1!$A$1:$AH$85,34,0)</f>
        <v>0</v>
      </c>
      <c r="O24" s="22" t="str">
        <f>MID(VLOOKUP(C24,[1]Sheet1!$A$1:$AH$85,12,0),2,1)</f>
        <v>1</v>
      </c>
      <c r="P24" s="22" t="str">
        <f>MID(VLOOKUP(C24,[1]Sheet1!$A$1:$AH$85,12,0),4,1)</f>
        <v>7</v>
      </c>
      <c r="Q24" s="22" t="str">
        <f>MID(VLOOKUP(C24,[1]Sheet1!$A$1:$AH$85,12,0),6,1)</f>
        <v/>
      </c>
      <c r="R24" s="22" t="str">
        <f>MID(VLOOKUP(C24,[1]Sheet1!$A$1:$AH$85,12,0),8,1)</f>
        <v/>
      </c>
      <c r="T24" s="23" t="s">
        <v>98</v>
      </c>
    </row>
    <row r="25" spans="1:20">
      <c r="A25" s="26">
        <v>2007</v>
      </c>
      <c r="B25" s="27">
        <v>102007</v>
      </c>
      <c r="C25" s="19">
        <v>2007</v>
      </c>
      <c r="D25" s="19">
        <v>0</v>
      </c>
      <c r="E25" s="19">
        <v>33360</v>
      </c>
      <c r="F25" s="20" t="s">
        <v>67</v>
      </c>
      <c r="J25" s="35" t="s">
        <v>99</v>
      </c>
      <c r="K25" s="18" t="s">
        <v>100</v>
      </c>
      <c r="L25" s="22">
        <f>VLOOKUP(C25,[1]Sheet1!$A$1:$K$85,11,0)</f>
        <v>4</v>
      </c>
      <c r="M25" s="22">
        <f>VLOOKUP(C25,[1]Sheet1!$A$1:$K$85,3,0)</f>
        <v>2</v>
      </c>
      <c r="N25" s="22">
        <f>VLOOKUP(C25,[1]Sheet1!$A$1:$AH$85,34,0)</f>
        <v>0</v>
      </c>
      <c r="O25" s="22" t="str">
        <f>MID(VLOOKUP(C25,[1]Sheet1!$A$1:$AH$85,12,0),2,1)</f>
        <v>2</v>
      </c>
      <c r="P25" s="22" t="str">
        <f>MID(VLOOKUP(C25,[1]Sheet1!$A$1:$AH$85,12,0),4,1)</f>
        <v/>
      </c>
      <c r="Q25" s="22" t="str">
        <f>MID(VLOOKUP(C25,[1]Sheet1!$A$1:$AH$85,12,0),6,1)</f>
        <v/>
      </c>
      <c r="R25" s="22" t="str">
        <f>MID(VLOOKUP(C25,[1]Sheet1!$A$1:$AH$85,12,0),8,1)</f>
        <v/>
      </c>
      <c r="T25" s="23" t="s">
        <v>101</v>
      </c>
    </row>
    <row r="26" spans="1:20">
      <c r="A26" s="26">
        <v>2008</v>
      </c>
      <c r="B26" s="27">
        <v>102008</v>
      </c>
      <c r="C26" s="19">
        <v>2008</v>
      </c>
      <c r="D26" s="19">
        <v>0</v>
      </c>
      <c r="E26" s="19">
        <v>33864</v>
      </c>
      <c r="F26" s="20" t="s">
        <v>56</v>
      </c>
      <c r="J26" s="35" t="s">
        <v>102</v>
      </c>
      <c r="K26" s="18" t="s">
        <v>103</v>
      </c>
      <c r="L26" s="22">
        <f>VLOOKUP(C26,[1]Sheet1!$A$1:$K$85,11,0)</f>
        <v>3</v>
      </c>
      <c r="M26" s="22">
        <f>VLOOKUP(C26,[1]Sheet1!$A$1:$K$85,3,0)</f>
        <v>2</v>
      </c>
      <c r="N26" s="22">
        <f>VLOOKUP(C26,[1]Sheet1!$A$1:$AH$85,34,0)</f>
        <v>0</v>
      </c>
      <c r="O26" s="22" t="str">
        <f>MID(VLOOKUP(C26,[1]Sheet1!$A$1:$AH$85,12,0),2,1)</f>
        <v>2</v>
      </c>
      <c r="P26" s="22" t="str">
        <f>MID(VLOOKUP(C26,[1]Sheet1!$A$1:$AH$85,12,0),4,1)</f>
        <v/>
      </c>
      <c r="Q26" s="22" t="str">
        <f>MID(VLOOKUP(C26,[1]Sheet1!$A$1:$AH$85,12,0),6,1)</f>
        <v/>
      </c>
      <c r="R26" s="22" t="str">
        <f>MID(VLOOKUP(C26,[1]Sheet1!$A$1:$AH$85,12,0),8,1)</f>
        <v/>
      </c>
      <c r="T26" s="23" t="s">
        <v>104</v>
      </c>
    </row>
    <row r="27" spans="1:20">
      <c r="A27" s="26">
        <v>2009</v>
      </c>
      <c r="B27" s="27">
        <v>102009</v>
      </c>
      <c r="C27" s="19">
        <v>2009</v>
      </c>
      <c r="D27" s="19">
        <v>0</v>
      </c>
      <c r="E27" s="19">
        <v>1049160</v>
      </c>
      <c r="F27" s="20" t="s">
        <v>67</v>
      </c>
      <c r="J27" s="35" t="s">
        <v>105</v>
      </c>
      <c r="K27" s="18" t="s">
        <v>106</v>
      </c>
      <c r="L27" s="22">
        <f>VLOOKUP(C27,[1]Sheet1!$A$1:$K$85,11,0)</f>
        <v>3</v>
      </c>
      <c r="M27" s="22">
        <f>VLOOKUP(C27,[1]Sheet1!$A$1:$K$85,3,0)</f>
        <v>2</v>
      </c>
      <c r="N27" s="22">
        <f>VLOOKUP(C27,[1]Sheet1!$A$1:$AH$85,34,0)</f>
        <v>0</v>
      </c>
      <c r="O27" s="22" t="str">
        <f>MID(VLOOKUP(C27,[1]Sheet1!$A$1:$AH$85,12,0),2,1)</f>
        <v>7</v>
      </c>
      <c r="P27" s="22" t="str">
        <f>MID(VLOOKUP(C27,[1]Sheet1!$A$1:$AH$85,12,0),4,1)</f>
        <v/>
      </c>
      <c r="Q27" s="22" t="str">
        <f>MID(VLOOKUP(C27,[1]Sheet1!$A$1:$AH$85,12,0),6,1)</f>
        <v/>
      </c>
      <c r="R27" s="22" t="str">
        <f>MID(VLOOKUP(C27,[1]Sheet1!$A$1:$AH$85,12,0),8,1)</f>
        <v/>
      </c>
      <c r="T27" s="23" t="s">
        <v>107</v>
      </c>
    </row>
    <row r="28" spans="1:20">
      <c r="A28" s="30">
        <v>2010</v>
      </c>
      <c r="B28" s="27">
        <v>102010</v>
      </c>
      <c r="C28" s="31">
        <v>2010</v>
      </c>
      <c r="D28" s="19">
        <v>0</v>
      </c>
      <c r="E28" s="19">
        <v>37000</v>
      </c>
      <c r="F28" s="20" t="s">
        <v>80</v>
      </c>
      <c r="J28" s="36" t="s">
        <v>108</v>
      </c>
      <c r="K28" s="18" t="s">
        <v>109</v>
      </c>
      <c r="L28" s="22">
        <f>VLOOKUP(C28,[1]Sheet1!$A$1:$K$85,11,0)</f>
        <v>3</v>
      </c>
      <c r="M28" s="22">
        <f>VLOOKUP(C28,[1]Sheet1!$A$1:$K$85,3,0)</f>
        <v>3</v>
      </c>
      <c r="N28" s="22">
        <f>VLOOKUP(C28,[1]Sheet1!$A$1:$AH$85,34,0)</f>
        <v>0</v>
      </c>
      <c r="O28" s="22" t="str">
        <f>MID(VLOOKUP(C28,[1]Sheet1!$A$1:$AH$85,12,0),2,1)</f>
        <v>2</v>
      </c>
      <c r="P28" s="22" t="str">
        <f>MID(VLOOKUP(C28,[1]Sheet1!$A$1:$AH$85,12,0),4,1)</f>
        <v/>
      </c>
      <c r="Q28" s="22" t="str">
        <f>MID(VLOOKUP(C28,[1]Sheet1!$A$1:$AH$85,12,0),6,1)</f>
        <v/>
      </c>
      <c r="R28" s="22" t="str">
        <f>MID(VLOOKUP(C28,[1]Sheet1!$A$1:$AH$85,12,0),8,1)</f>
        <v/>
      </c>
      <c r="T28" s="23" t="s">
        <v>110</v>
      </c>
    </row>
    <row r="29" spans="1:20">
      <c r="A29" s="26">
        <v>2011</v>
      </c>
      <c r="B29" s="27">
        <v>102011</v>
      </c>
      <c r="C29" s="19">
        <v>2011</v>
      </c>
      <c r="D29" s="19">
        <v>0</v>
      </c>
      <c r="E29" s="19">
        <v>33412</v>
      </c>
      <c r="F29" s="20" t="s">
        <v>111</v>
      </c>
      <c r="J29" s="35" t="s">
        <v>112</v>
      </c>
      <c r="K29" s="18" t="s">
        <v>113</v>
      </c>
      <c r="L29" s="22">
        <f>VLOOKUP(C29,[1]Sheet1!$A$1:$K$85,11,0)</f>
        <v>2</v>
      </c>
      <c r="M29" s="22">
        <f>VLOOKUP(C29,[1]Sheet1!$A$1:$K$85,3,0)</f>
        <v>3</v>
      </c>
      <c r="N29" s="22">
        <f>VLOOKUP(C29,[1]Sheet1!$A$1:$AH$85,34,0)</f>
        <v>0</v>
      </c>
      <c r="O29" s="22" t="str">
        <f>MID(VLOOKUP(C29,[1]Sheet1!$A$1:$AH$85,12,0),2,1)</f>
        <v>2</v>
      </c>
      <c r="P29" s="22" t="str">
        <f>MID(VLOOKUP(C29,[1]Sheet1!$A$1:$AH$85,12,0),4,1)</f>
        <v/>
      </c>
      <c r="Q29" s="22" t="str">
        <f>MID(VLOOKUP(C29,[1]Sheet1!$A$1:$AH$85,12,0),6,1)</f>
        <v/>
      </c>
      <c r="R29" s="22" t="str">
        <f>MID(VLOOKUP(C29,[1]Sheet1!$A$1:$AH$85,12,0),8,1)</f>
        <v/>
      </c>
      <c r="T29" s="23" t="s">
        <v>114</v>
      </c>
    </row>
    <row r="30" spans="1:20">
      <c r="A30" s="26">
        <v>2012</v>
      </c>
      <c r="B30" s="27">
        <v>102012</v>
      </c>
      <c r="C30" s="19">
        <v>2012</v>
      </c>
      <c r="D30" s="19">
        <v>0</v>
      </c>
      <c r="E30" s="19">
        <v>66692</v>
      </c>
      <c r="F30" s="20" t="s">
        <v>84</v>
      </c>
      <c r="J30" s="35" t="s">
        <v>115</v>
      </c>
      <c r="K30" s="18" t="s">
        <v>116</v>
      </c>
      <c r="L30" s="22">
        <f>VLOOKUP(C30,[1]Sheet1!$A$1:$K$85,11,0)</f>
        <v>2</v>
      </c>
      <c r="M30" s="22">
        <f>VLOOKUP(C30,[1]Sheet1!$A$1:$K$85,3,0)</f>
        <v>3</v>
      </c>
      <c r="N30" s="22">
        <f>VLOOKUP(C30,[1]Sheet1!$A$1:$AH$85,34,0)</f>
        <v>0</v>
      </c>
      <c r="O30" s="22" t="str">
        <f>MID(VLOOKUP(C30,[1]Sheet1!$A$1:$AH$85,12,0),2,1)</f>
        <v>3</v>
      </c>
      <c r="P30" s="22" t="str">
        <f>MID(VLOOKUP(C30,[1]Sheet1!$A$1:$AH$85,12,0),4,1)</f>
        <v/>
      </c>
      <c r="Q30" s="22" t="str">
        <f>MID(VLOOKUP(C30,[1]Sheet1!$A$1:$AH$85,12,0),6,1)</f>
        <v/>
      </c>
      <c r="R30" s="22" t="str">
        <f>MID(VLOOKUP(C30,[1]Sheet1!$A$1:$AH$85,12,0),8,1)</f>
        <v/>
      </c>
      <c r="T30" s="23" t="s">
        <v>94</v>
      </c>
    </row>
    <row r="31" spans="1:20">
      <c r="A31" s="26">
        <v>2013</v>
      </c>
      <c r="B31" s="27">
        <v>102013</v>
      </c>
      <c r="C31" s="19">
        <v>2013</v>
      </c>
      <c r="D31" s="19">
        <v>0</v>
      </c>
      <c r="E31" s="19">
        <v>1115216</v>
      </c>
      <c r="F31" s="20" t="s">
        <v>56</v>
      </c>
      <c r="J31" s="35" t="s">
        <v>117</v>
      </c>
      <c r="K31" s="18" t="s">
        <v>118</v>
      </c>
      <c r="L31" s="22">
        <f>VLOOKUP(C31,[1]Sheet1!$A$1:$K$85,11,0)</f>
        <v>4</v>
      </c>
      <c r="M31" s="22">
        <f>VLOOKUP(C31,[1]Sheet1!$A$1:$K$85,3,0)</f>
        <v>2</v>
      </c>
      <c r="N31" s="22">
        <f>VLOOKUP(C31,[1]Sheet1!$A$1:$AH$85,34,0)</f>
        <v>0</v>
      </c>
      <c r="O31" s="22" t="str">
        <f>MID(VLOOKUP(C31,[1]Sheet1!$A$1:$AH$85,12,0),2,1)</f>
        <v>7</v>
      </c>
      <c r="P31" s="22" t="str">
        <f>MID(VLOOKUP(C31,[1]Sheet1!$A$1:$AH$85,12,0),4,1)</f>
        <v>3</v>
      </c>
      <c r="Q31" s="22" t="str">
        <f>MID(VLOOKUP(C31,[1]Sheet1!$A$1:$AH$85,12,0),6,1)</f>
        <v/>
      </c>
      <c r="R31" s="22" t="str">
        <f>MID(VLOOKUP(C31,[1]Sheet1!$A$1:$AH$85,12,0),8,1)</f>
        <v/>
      </c>
      <c r="T31" s="23" t="s">
        <v>119</v>
      </c>
    </row>
    <row r="32" spans="1:20">
      <c r="A32" s="26">
        <v>2015</v>
      </c>
      <c r="B32" s="27">
        <v>102015</v>
      </c>
      <c r="C32" s="19">
        <v>2015</v>
      </c>
      <c r="D32" s="19">
        <v>0</v>
      </c>
      <c r="E32" s="19">
        <v>66120</v>
      </c>
      <c r="F32" s="20" t="s">
        <v>67</v>
      </c>
      <c r="J32" s="35" t="s">
        <v>120</v>
      </c>
      <c r="K32" s="18" t="s">
        <v>121</v>
      </c>
      <c r="L32" s="22">
        <f>VLOOKUP(C32,[1]Sheet1!$A$1:$K$85,11,0)</f>
        <v>3</v>
      </c>
      <c r="M32" s="22">
        <f>VLOOKUP(C32,[1]Sheet1!$A$1:$K$85,3,0)</f>
        <v>2</v>
      </c>
      <c r="N32" s="22">
        <f>VLOOKUP(C32,[1]Sheet1!$A$1:$AH$85,34,0)</f>
        <v>0</v>
      </c>
      <c r="O32" s="22" t="str">
        <f>MID(VLOOKUP(C32,[1]Sheet1!$A$1:$AH$85,12,0),2,1)</f>
        <v>3</v>
      </c>
      <c r="P32" s="22" t="str">
        <f>MID(VLOOKUP(C32,[1]Sheet1!$A$1:$AH$85,12,0),4,1)</f>
        <v/>
      </c>
      <c r="Q32" s="22" t="str">
        <f>MID(VLOOKUP(C32,[1]Sheet1!$A$1:$AH$85,12,0),6,1)</f>
        <v/>
      </c>
      <c r="R32" s="22" t="str">
        <f>MID(VLOOKUP(C32,[1]Sheet1!$A$1:$AH$85,12,0),8,1)</f>
        <v/>
      </c>
      <c r="T32" s="23" t="s">
        <v>107</v>
      </c>
    </row>
    <row r="33" spans="1:20">
      <c r="A33" s="26">
        <v>2016</v>
      </c>
      <c r="B33" s="27">
        <v>102016</v>
      </c>
      <c r="C33" s="19">
        <v>2016</v>
      </c>
      <c r="D33" s="19">
        <v>0</v>
      </c>
      <c r="E33" s="19">
        <v>33410</v>
      </c>
      <c r="F33" s="20" t="s">
        <v>111</v>
      </c>
      <c r="J33" s="35" t="s">
        <v>122</v>
      </c>
      <c r="K33" s="18" t="s">
        <v>123</v>
      </c>
      <c r="L33" s="22">
        <f>VLOOKUP(C33,[1]Sheet1!$A$1:$K$85,11,0)</f>
        <v>1</v>
      </c>
      <c r="M33" s="22">
        <f>VLOOKUP(C33,[1]Sheet1!$A$1:$K$85,3,0)</f>
        <v>3</v>
      </c>
      <c r="N33" s="22">
        <f>VLOOKUP(C33,[1]Sheet1!$A$1:$AH$85,34,0)</f>
        <v>0</v>
      </c>
      <c r="O33" s="22" t="str">
        <f>MID(VLOOKUP(C33,[1]Sheet1!$A$1:$AH$85,12,0),2,1)</f>
        <v>2</v>
      </c>
      <c r="P33" s="22" t="str">
        <f>MID(VLOOKUP(C33,[1]Sheet1!$A$1:$AH$85,12,0),4,1)</f>
        <v/>
      </c>
      <c r="Q33" s="22" t="str">
        <f>MID(VLOOKUP(C33,[1]Sheet1!$A$1:$AH$85,12,0),6,1)</f>
        <v/>
      </c>
      <c r="R33" s="22" t="str">
        <f>MID(VLOOKUP(C33,[1]Sheet1!$A$1:$AH$85,12,0),8,1)</f>
        <v/>
      </c>
      <c r="T33" s="23" t="s">
        <v>124</v>
      </c>
    </row>
    <row r="34" spans="1:20">
      <c r="A34" s="26">
        <v>2017</v>
      </c>
      <c r="B34" s="27">
        <v>102017</v>
      </c>
      <c r="C34" s="19">
        <v>2017</v>
      </c>
      <c r="D34" s="19">
        <v>0</v>
      </c>
      <c r="E34" s="19">
        <v>133186</v>
      </c>
      <c r="F34" s="20" t="s">
        <v>88</v>
      </c>
      <c r="J34" s="35" t="s">
        <v>125</v>
      </c>
      <c r="K34" s="18" t="s">
        <v>126</v>
      </c>
      <c r="L34" s="22">
        <f>VLOOKUP(C34,[1]Sheet1!$A$1:$K$85,11,0)</f>
        <v>1</v>
      </c>
      <c r="M34" s="22">
        <f>VLOOKUP(C34,[1]Sheet1!$A$1:$K$85,3,0)</f>
        <v>2</v>
      </c>
      <c r="N34" s="22">
        <f>VLOOKUP(C34,[1]Sheet1!$A$1:$AH$85,34,0)</f>
        <v>0</v>
      </c>
      <c r="O34" s="22" t="str">
        <f>MID(VLOOKUP(C34,[1]Sheet1!$A$1:$AH$85,12,0),2,1)</f>
        <v>4</v>
      </c>
      <c r="P34" s="22" t="str">
        <f>MID(VLOOKUP(C34,[1]Sheet1!$A$1:$AH$85,12,0),4,1)</f>
        <v/>
      </c>
      <c r="Q34" s="22" t="str">
        <f>MID(VLOOKUP(C34,[1]Sheet1!$A$1:$AH$85,12,0),6,1)</f>
        <v/>
      </c>
      <c r="R34" s="22" t="str">
        <f>MID(VLOOKUP(C34,[1]Sheet1!$A$1:$AH$85,12,0),8,1)</f>
        <v/>
      </c>
      <c r="T34" s="23" t="s">
        <v>127</v>
      </c>
    </row>
    <row r="35" spans="1:20">
      <c r="A35" s="26">
        <v>3000</v>
      </c>
      <c r="B35" s="27">
        <v>103000</v>
      </c>
      <c r="C35" s="19">
        <v>3000</v>
      </c>
      <c r="D35" s="19">
        <v>0</v>
      </c>
      <c r="E35" s="19">
        <v>1082512</v>
      </c>
      <c r="F35" s="20" t="s">
        <v>84</v>
      </c>
      <c r="J35" s="26" t="s">
        <v>128</v>
      </c>
      <c r="K35" s="18" t="s">
        <v>129</v>
      </c>
      <c r="L35" s="22">
        <f>VLOOKUP(C35,[1]Sheet1!$A$1:$K$85,11,0)</f>
        <v>4</v>
      </c>
      <c r="M35" s="22">
        <f>VLOOKUP(C35,[1]Sheet1!$A$1:$K$85,3,0)</f>
        <v>3</v>
      </c>
      <c r="N35" s="22">
        <f>VLOOKUP(C35,[1]Sheet1!$A$1:$AH$85,34,0)</f>
        <v>0</v>
      </c>
      <c r="O35" s="22" t="str">
        <f>MID(VLOOKUP(C35,[1]Sheet1!$A$1:$AH$85,12,0),2,1)</f>
        <v>2</v>
      </c>
      <c r="P35" s="22" t="str">
        <f>MID(VLOOKUP(C35,[1]Sheet1!$A$1:$AH$85,12,0),4,1)</f>
        <v>7</v>
      </c>
      <c r="Q35" s="22" t="str">
        <f>MID(VLOOKUP(C35,[1]Sheet1!$A$1:$AH$85,12,0),6,1)</f>
        <v/>
      </c>
      <c r="R35" s="22" t="str">
        <f>MID(VLOOKUP(C35,[1]Sheet1!$A$1:$AH$85,12,0),8,1)</f>
        <v/>
      </c>
      <c r="T35" s="23" t="s">
        <v>130</v>
      </c>
    </row>
    <row r="36" spans="1:20">
      <c r="A36" s="26">
        <v>3001</v>
      </c>
      <c r="B36" s="27">
        <v>103001</v>
      </c>
      <c r="C36" s="19">
        <v>3001</v>
      </c>
      <c r="D36" s="19">
        <v>0</v>
      </c>
      <c r="E36" s="19">
        <v>1049232</v>
      </c>
      <c r="F36" s="20" t="s">
        <v>111</v>
      </c>
      <c r="J36" s="26" t="s">
        <v>131</v>
      </c>
      <c r="K36" s="18" t="s">
        <v>132</v>
      </c>
      <c r="L36" s="22">
        <f>VLOOKUP(C36,[1]Sheet1!$A$1:$K$85,11,0)</f>
        <v>4</v>
      </c>
      <c r="M36" s="22">
        <f>VLOOKUP(C36,[1]Sheet1!$A$1:$K$85,3,0)</f>
        <v>3</v>
      </c>
      <c r="N36" s="22">
        <f>VLOOKUP(C36,[1]Sheet1!$A$1:$AH$85,34,0)</f>
        <v>0</v>
      </c>
      <c r="O36" s="22" t="str">
        <f>MID(VLOOKUP(C36,[1]Sheet1!$A$1:$AH$85,12,0),2,1)</f>
        <v>7</v>
      </c>
      <c r="P36" s="22" t="str">
        <f>MID(VLOOKUP(C36,[1]Sheet1!$A$1:$AH$85,12,0),4,1)</f>
        <v/>
      </c>
      <c r="Q36" s="22" t="str">
        <f>MID(VLOOKUP(C36,[1]Sheet1!$A$1:$AH$85,12,0),6,1)</f>
        <v/>
      </c>
      <c r="R36" s="22" t="str">
        <f>MID(VLOOKUP(C36,[1]Sheet1!$A$1:$AH$85,12,0),8,1)</f>
        <v/>
      </c>
      <c r="T36" s="23" t="s">
        <v>133</v>
      </c>
    </row>
    <row r="37" spans="1:20">
      <c r="A37" s="26">
        <v>3003</v>
      </c>
      <c r="B37" s="27">
        <v>103003</v>
      </c>
      <c r="C37" s="19">
        <v>3003</v>
      </c>
      <c r="D37" s="19">
        <v>0</v>
      </c>
      <c r="E37" s="19">
        <v>1049224</v>
      </c>
      <c r="F37" s="20" t="s">
        <v>111</v>
      </c>
      <c r="J37" s="26" t="s">
        <v>134</v>
      </c>
      <c r="K37" s="18" t="s">
        <v>135</v>
      </c>
      <c r="L37" s="22">
        <f>VLOOKUP(C37,[1]Sheet1!$A$1:$K$85,11,0)</f>
        <v>3</v>
      </c>
      <c r="M37" s="22">
        <f>VLOOKUP(C37,[1]Sheet1!$A$1:$K$85,3,0)</f>
        <v>3</v>
      </c>
      <c r="N37" s="22">
        <f>VLOOKUP(C37,[1]Sheet1!$A$1:$AH$85,34,0)</f>
        <v>0</v>
      </c>
      <c r="O37" s="22" t="str">
        <f>MID(VLOOKUP(C37,[1]Sheet1!$A$1:$AH$85,12,0),2,1)</f>
        <v>7</v>
      </c>
      <c r="P37" s="22" t="str">
        <f>MID(VLOOKUP(C37,[1]Sheet1!$A$1:$AH$85,12,0),4,1)</f>
        <v/>
      </c>
      <c r="Q37" s="22" t="str">
        <f>MID(VLOOKUP(C37,[1]Sheet1!$A$1:$AH$85,12,0),6,1)</f>
        <v/>
      </c>
      <c r="R37" s="22" t="str">
        <f>MID(VLOOKUP(C37,[1]Sheet1!$A$1:$AH$85,12,0),8,1)</f>
        <v/>
      </c>
      <c r="T37" s="23" t="s">
        <v>136</v>
      </c>
    </row>
    <row r="38" spans="1:20">
      <c r="A38" s="26">
        <v>3004</v>
      </c>
      <c r="B38" s="27">
        <v>103004</v>
      </c>
      <c r="C38" s="19">
        <v>3004</v>
      </c>
      <c r="D38" s="19">
        <v>0</v>
      </c>
      <c r="E38" s="19">
        <v>37008</v>
      </c>
      <c r="F38" s="20" t="s">
        <v>80</v>
      </c>
      <c r="J38" s="26" t="s">
        <v>137</v>
      </c>
      <c r="K38" s="18" t="s">
        <v>138</v>
      </c>
      <c r="L38" s="22">
        <f>VLOOKUP(C38,[1]Sheet1!$A$1:$K$85,11,0)</f>
        <v>4</v>
      </c>
      <c r="M38" s="22">
        <f>VLOOKUP(C38,[1]Sheet1!$A$1:$K$85,3,0)</f>
        <v>3</v>
      </c>
      <c r="N38" s="22">
        <f>VLOOKUP(C38,[1]Sheet1!$A$1:$AH$85,34,0)</f>
        <v>0</v>
      </c>
      <c r="O38" s="22" t="str">
        <f>MID(VLOOKUP(C38,[1]Sheet1!$A$1:$AH$85,12,0),2,1)</f>
        <v>2</v>
      </c>
      <c r="P38" s="22" t="str">
        <f>MID(VLOOKUP(C38,[1]Sheet1!$A$1:$AH$85,12,0),4,1)</f>
        <v/>
      </c>
      <c r="Q38" s="22" t="str">
        <f>MID(VLOOKUP(C38,[1]Sheet1!$A$1:$AH$85,12,0),6,1)</f>
        <v/>
      </c>
      <c r="R38" s="22" t="str">
        <f>MID(VLOOKUP(C38,[1]Sheet1!$A$1:$AH$85,12,0),8,1)</f>
        <v/>
      </c>
      <c r="T38" s="23" t="s">
        <v>139</v>
      </c>
    </row>
    <row r="39" spans="1:20">
      <c r="A39" s="26">
        <v>3005</v>
      </c>
      <c r="B39" s="27">
        <v>103005</v>
      </c>
      <c r="C39" s="19">
        <v>3005</v>
      </c>
      <c r="D39" s="19">
        <v>0</v>
      </c>
      <c r="E39" s="19">
        <v>1049232</v>
      </c>
      <c r="F39" s="20" t="s">
        <v>111</v>
      </c>
      <c r="J39" s="26" t="s">
        <v>140</v>
      </c>
      <c r="K39" s="25" t="s">
        <v>141</v>
      </c>
      <c r="L39" s="22">
        <f>VLOOKUP(C39,[1]Sheet1!$A$1:$K$85,11,0)</f>
        <v>4</v>
      </c>
      <c r="M39" s="22">
        <f>VLOOKUP(C39,[1]Sheet1!$A$1:$K$85,3,0)</f>
        <v>3</v>
      </c>
      <c r="N39" s="22">
        <f>VLOOKUP(C39,[1]Sheet1!$A$1:$AH$85,34,0)</f>
        <v>0</v>
      </c>
      <c r="O39" s="22" t="str">
        <f>MID(VLOOKUP(C39,[1]Sheet1!$A$1:$AH$85,12,0),2,1)</f>
        <v>7</v>
      </c>
      <c r="P39" s="22" t="str">
        <f>MID(VLOOKUP(C39,[1]Sheet1!$A$1:$AH$85,12,0),4,1)</f>
        <v/>
      </c>
      <c r="Q39" s="22" t="str">
        <f>MID(VLOOKUP(C39,[1]Sheet1!$A$1:$AH$85,12,0),6,1)</f>
        <v/>
      </c>
      <c r="R39" s="22" t="str">
        <f>MID(VLOOKUP(C39,[1]Sheet1!$A$1:$AH$85,12,0),8,1)</f>
        <v/>
      </c>
      <c r="T39" s="23" t="s">
        <v>133</v>
      </c>
    </row>
    <row r="40" spans="1:20">
      <c r="A40" s="26">
        <v>3006</v>
      </c>
      <c r="B40" s="27">
        <v>103006</v>
      </c>
      <c r="C40" s="19">
        <v>3006</v>
      </c>
      <c r="D40" s="19">
        <v>0</v>
      </c>
      <c r="E40" s="19">
        <v>263304</v>
      </c>
      <c r="F40" s="20" t="s">
        <v>84</v>
      </c>
      <c r="J40" s="26" t="s">
        <v>142</v>
      </c>
      <c r="K40" s="18" t="s">
        <v>143</v>
      </c>
      <c r="L40" s="22">
        <f>VLOOKUP(C40,[1]Sheet1!$A$1:$K$85,11,0)</f>
        <v>3</v>
      </c>
      <c r="M40" s="22">
        <f>VLOOKUP(C40,[1]Sheet1!$A$1:$K$85,3,0)</f>
        <v>3</v>
      </c>
      <c r="N40" s="22">
        <f>VLOOKUP(C40,[1]Sheet1!$A$1:$AH$85,34,0)</f>
        <v>0</v>
      </c>
      <c r="O40" s="22" t="str">
        <f>MID(VLOOKUP(C40,[1]Sheet1!$A$1:$AH$85,12,0),2,1)</f>
        <v>5</v>
      </c>
      <c r="P40" s="22" t="str">
        <f>MID(VLOOKUP(C40,[1]Sheet1!$A$1:$AH$85,12,0),4,1)</f>
        <v/>
      </c>
      <c r="Q40" s="22" t="str">
        <f>MID(VLOOKUP(C40,[1]Sheet1!$A$1:$AH$85,12,0),6,1)</f>
        <v/>
      </c>
      <c r="R40" s="22" t="str">
        <f>MID(VLOOKUP(C40,[1]Sheet1!$A$1:$AH$85,12,0),8,1)</f>
        <v/>
      </c>
      <c r="T40" s="23" t="s">
        <v>144</v>
      </c>
    </row>
    <row r="41" spans="1:20">
      <c r="A41" s="26">
        <v>3008</v>
      </c>
      <c r="B41" s="27">
        <v>103008</v>
      </c>
      <c r="C41" s="19">
        <v>3008</v>
      </c>
      <c r="D41" s="19">
        <v>0</v>
      </c>
      <c r="E41" s="19">
        <v>36994</v>
      </c>
      <c r="F41" s="20" t="s">
        <v>80</v>
      </c>
      <c r="J41" s="26" t="s">
        <v>145</v>
      </c>
      <c r="K41" s="18" t="s">
        <v>146</v>
      </c>
      <c r="L41" s="22">
        <f>VLOOKUP(C41,[1]Sheet1!$A$1:$K$85,11,0)</f>
        <v>1</v>
      </c>
      <c r="M41" s="22">
        <f>VLOOKUP(C41,[1]Sheet1!$A$1:$K$85,3,0)</f>
        <v>3</v>
      </c>
      <c r="N41" s="22">
        <f>VLOOKUP(C41,[1]Sheet1!$A$1:$AH$85,34,0)</f>
        <v>0</v>
      </c>
      <c r="O41" s="22" t="str">
        <f>MID(VLOOKUP(C41,[1]Sheet1!$A$1:$AH$85,12,0),2,1)</f>
        <v>2</v>
      </c>
      <c r="P41" s="22" t="str">
        <f>MID(VLOOKUP(C41,[1]Sheet1!$A$1:$AH$85,12,0),4,1)</f>
        <v/>
      </c>
      <c r="Q41" s="22" t="str">
        <f>MID(VLOOKUP(C41,[1]Sheet1!$A$1:$AH$85,12,0),6,1)</f>
        <v/>
      </c>
      <c r="R41" s="22" t="str">
        <f>MID(VLOOKUP(C41,[1]Sheet1!$A$1:$AH$85,12,0),8,1)</f>
        <v/>
      </c>
      <c r="T41" s="23" t="s">
        <v>83</v>
      </c>
    </row>
    <row r="42" spans="1:20">
      <c r="A42" s="26">
        <v>3009</v>
      </c>
      <c r="B42" s="27">
        <v>103009</v>
      </c>
      <c r="C42" s="19">
        <v>3009</v>
      </c>
      <c r="D42" s="19">
        <v>0</v>
      </c>
      <c r="E42" s="19">
        <v>34946</v>
      </c>
      <c r="F42" s="20" t="s">
        <v>88</v>
      </c>
      <c r="J42" s="26" t="s">
        <v>147</v>
      </c>
      <c r="K42" s="18" t="s">
        <v>148</v>
      </c>
      <c r="L42" s="22">
        <f>VLOOKUP(C42,[1]Sheet1!$A$1:$K$85,11,0)</f>
        <v>1</v>
      </c>
      <c r="M42" s="22">
        <f>VLOOKUP(C42,[1]Sheet1!$A$1:$K$85,3,0)</f>
        <v>3</v>
      </c>
      <c r="N42" s="22">
        <f>VLOOKUP(C42,[1]Sheet1!$A$1:$AH$85,34,0)</f>
        <v>0</v>
      </c>
      <c r="O42" s="22" t="str">
        <f>MID(VLOOKUP(C42,[1]Sheet1!$A$1:$AH$85,12,0),2,1)</f>
        <v>2</v>
      </c>
      <c r="P42" s="22" t="str">
        <f>MID(VLOOKUP(C42,[1]Sheet1!$A$1:$AH$85,12,0),4,1)</f>
        <v/>
      </c>
      <c r="Q42" s="22" t="str">
        <f>MID(VLOOKUP(C42,[1]Sheet1!$A$1:$AH$85,12,0),6,1)</f>
        <v/>
      </c>
      <c r="R42" s="22" t="str">
        <f>MID(VLOOKUP(C42,[1]Sheet1!$A$1:$AH$85,12,0),8,1)</f>
        <v/>
      </c>
      <c r="T42" s="23" t="s">
        <v>149</v>
      </c>
    </row>
    <row r="43" spans="1:20">
      <c r="A43" s="26">
        <v>3010</v>
      </c>
      <c r="B43" s="27">
        <v>103010</v>
      </c>
      <c r="C43" s="19">
        <v>3010</v>
      </c>
      <c r="D43" s="19">
        <v>0</v>
      </c>
      <c r="E43" s="19">
        <v>49730</v>
      </c>
      <c r="F43" s="20" t="s">
        <v>111</v>
      </c>
      <c r="J43" s="26" t="s">
        <v>150</v>
      </c>
      <c r="K43" s="18" t="s">
        <v>151</v>
      </c>
      <c r="L43" s="22">
        <f>VLOOKUP(C43,[1]Sheet1!$A$1:$K$85,11,0)</f>
        <v>1</v>
      </c>
      <c r="M43" s="22">
        <f>VLOOKUP(C43,[1]Sheet1!$A$1:$K$85,3,0)</f>
        <v>2</v>
      </c>
      <c r="N43" s="22">
        <f>VLOOKUP(C43,[1]Sheet1!$A$1:$AH$85,34,0)</f>
        <v>0</v>
      </c>
      <c r="O43" s="22" t="str">
        <f>MID(VLOOKUP(C43,[1]Sheet1!$A$1:$AH$85,12,0),2,1)</f>
        <v>1</v>
      </c>
      <c r="P43" s="22" t="str">
        <f>MID(VLOOKUP(C43,[1]Sheet1!$A$1:$AH$85,12,0),4,1)</f>
        <v>2</v>
      </c>
      <c r="Q43" s="22" t="str">
        <f>MID(VLOOKUP(C43,[1]Sheet1!$A$1:$AH$85,12,0),6,1)</f>
        <v/>
      </c>
      <c r="R43" s="22" t="str">
        <f>MID(VLOOKUP(C43,[1]Sheet1!$A$1:$AH$85,12,0),8,1)</f>
        <v/>
      </c>
      <c r="T43" s="23" t="s">
        <v>152</v>
      </c>
    </row>
    <row r="44" spans="1:20">
      <c r="A44" s="26">
        <v>3012</v>
      </c>
      <c r="B44" s="27">
        <v>103012</v>
      </c>
      <c r="C44" s="19">
        <v>3012</v>
      </c>
      <c r="D44" s="19">
        <v>0</v>
      </c>
      <c r="E44" s="19">
        <v>99588</v>
      </c>
      <c r="F44" s="20" t="s">
        <v>153</v>
      </c>
      <c r="J44" s="26" t="s">
        <v>154</v>
      </c>
      <c r="K44" s="18" t="s">
        <v>155</v>
      </c>
      <c r="L44" s="22">
        <f>VLOOKUP(C44,[1]Sheet1!$A$1:$K$85,11,0)</f>
        <v>2</v>
      </c>
      <c r="M44" s="22">
        <f>VLOOKUP(C44,[1]Sheet1!$A$1:$K$85,3,0)</f>
        <v>4</v>
      </c>
      <c r="N44" s="22">
        <f>VLOOKUP(C44,[1]Sheet1!$A$1:$AH$85,34,0)</f>
        <v>0</v>
      </c>
      <c r="O44" s="22" t="str">
        <f>MID(VLOOKUP(C44,[1]Sheet1!$A$1:$AH$85,12,0),2,1)</f>
        <v>3</v>
      </c>
      <c r="P44" s="22" t="str">
        <f>MID(VLOOKUP(C44,[1]Sheet1!$A$1:$AH$85,12,0),4,1)</f>
        <v>2</v>
      </c>
      <c r="Q44" s="22" t="str">
        <f>MID(VLOOKUP(C44,[1]Sheet1!$A$1:$AH$85,12,0),6,1)</f>
        <v/>
      </c>
      <c r="R44" s="22" t="str">
        <f>MID(VLOOKUP(C44,[1]Sheet1!$A$1:$AH$85,12,0),8,1)</f>
        <v/>
      </c>
      <c r="T44" s="23" t="s">
        <v>156</v>
      </c>
    </row>
    <row r="45" spans="1:20">
      <c r="A45" s="26">
        <v>3013</v>
      </c>
      <c r="B45" s="27">
        <v>103013</v>
      </c>
      <c r="C45" s="19">
        <v>3013</v>
      </c>
      <c r="D45" s="19">
        <v>0</v>
      </c>
      <c r="E45" s="19">
        <v>131714</v>
      </c>
      <c r="F45" s="20" t="s">
        <v>111</v>
      </c>
      <c r="J45" s="37" t="s">
        <v>157</v>
      </c>
      <c r="K45" s="18" t="s">
        <v>158</v>
      </c>
      <c r="L45" s="22">
        <f>VLOOKUP(C45,[1]Sheet1!$A$1:$K$85,11,0)</f>
        <v>1</v>
      </c>
      <c r="M45" s="22">
        <f>VLOOKUP(C45,[1]Sheet1!$A$1:$K$85,3,0)</f>
        <v>3</v>
      </c>
      <c r="N45" s="22">
        <f>VLOOKUP(C45,[1]Sheet1!$A$1:$AH$85,34,0)</f>
        <v>0</v>
      </c>
      <c r="O45" s="22" t="str">
        <f>MID(VLOOKUP(C45,[1]Sheet1!$A$1:$AH$85,12,0),2,1)</f>
        <v>4</v>
      </c>
      <c r="P45" s="22" t="str">
        <f>MID(VLOOKUP(C45,[1]Sheet1!$A$1:$AH$85,12,0),4,1)</f>
        <v/>
      </c>
      <c r="Q45" s="22" t="str">
        <f>MID(VLOOKUP(C45,[1]Sheet1!$A$1:$AH$85,12,0),6,1)</f>
        <v/>
      </c>
      <c r="R45" s="22" t="str">
        <f>MID(VLOOKUP(C45,[1]Sheet1!$A$1:$AH$85,12,0),8,1)</f>
        <v/>
      </c>
      <c r="T45" s="23" t="s">
        <v>124</v>
      </c>
    </row>
    <row r="46" spans="1:20">
      <c r="A46" s="26">
        <v>3015</v>
      </c>
      <c r="B46" s="27">
        <v>103015</v>
      </c>
      <c r="C46" s="19">
        <v>3015</v>
      </c>
      <c r="D46" s="19">
        <v>0</v>
      </c>
      <c r="E46" s="19">
        <v>66690</v>
      </c>
      <c r="F46" s="20" t="s">
        <v>84</v>
      </c>
      <c r="J46" s="26" t="s">
        <v>159</v>
      </c>
      <c r="K46" s="18" t="s">
        <v>160</v>
      </c>
      <c r="L46" s="22">
        <f>VLOOKUP(C46,[1]Sheet1!$A$1:$K$85,11,0)</f>
        <v>1</v>
      </c>
      <c r="M46" s="22">
        <f>VLOOKUP(C46,[1]Sheet1!$A$1:$K$85,3,0)</f>
        <v>3</v>
      </c>
      <c r="N46" s="22">
        <f>VLOOKUP(C46,[1]Sheet1!$A$1:$AH$85,34,0)</f>
        <v>0</v>
      </c>
      <c r="O46" s="22" t="str">
        <f>MID(VLOOKUP(C46,[1]Sheet1!$A$1:$AH$85,12,0),2,1)</f>
        <v>3</v>
      </c>
      <c r="P46" s="22" t="str">
        <f>MID(VLOOKUP(C46,[1]Sheet1!$A$1:$AH$85,12,0),4,1)</f>
        <v/>
      </c>
      <c r="Q46" s="22" t="str">
        <f>MID(VLOOKUP(C46,[1]Sheet1!$A$1:$AH$85,12,0),6,1)</f>
        <v/>
      </c>
      <c r="R46" s="22" t="str">
        <f>MID(VLOOKUP(C46,[1]Sheet1!$A$1:$AH$85,12,0),8,1)</f>
        <v/>
      </c>
      <c r="T46" s="23" t="s">
        <v>87</v>
      </c>
    </row>
    <row r="47" spans="1:20">
      <c r="A47" s="26">
        <v>3016</v>
      </c>
      <c r="B47" s="27">
        <v>103016</v>
      </c>
      <c r="C47" s="19">
        <v>3016</v>
      </c>
      <c r="D47" s="19">
        <v>0</v>
      </c>
      <c r="E47" s="19">
        <v>51332</v>
      </c>
      <c r="F47" s="20" t="s">
        <v>88</v>
      </c>
      <c r="J47" s="26" t="s">
        <v>161</v>
      </c>
      <c r="K47" s="18" t="s">
        <v>162</v>
      </c>
      <c r="L47" s="22">
        <f>VLOOKUP(C47,[1]Sheet1!$A$1:$K$85,11,0)</f>
        <v>2</v>
      </c>
      <c r="M47" s="22">
        <f>VLOOKUP(C47,[1]Sheet1!$A$1:$K$85,3,0)</f>
        <v>3</v>
      </c>
      <c r="N47" s="22">
        <f>VLOOKUP(C47,[1]Sheet1!$A$1:$AH$85,34,0)</f>
        <v>0</v>
      </c>
      <c r="O47" s="22" t="str">
        <f>MID(VLOOKUP(C47,[1]Sheet1!$A$1:$AH$85,12,0),2,1)</f>
        <v>1</v>
      </c>
      <c r="P47" s="22" t="str">
        <f>MID(VLOOKUP(C47,[1]Sheet1!$A$1:$AH$85,12,0),4,1)</f>
        <v>2</v>
      </c>
      <c r="Q47" s="22" t="str">
        <f>MID(VLOOKUP(C47,[1]Sheet1!$A$1:$AH$85,12,0),6,1)</f>
        <v/>
      </c>
      <c r="R47" s="22" t="str">
        <f>MID(VLOOKUP(C47,[1]Sheet1!$A$1:$AH$85,12,0),8,1)</f>
        <v/>
      </c>
      <c r="T47" s="23" t="s">
        <v>91</v>
      </c>
    </row>
    <row r="48" spans="1:20">
      <c r="A48" s="26">
        <v>3017</v>
      </c>
      <c r="B48" s="27">
        <v>103017</v>
      </c>
      <c r="C48" s="19">
        <v>3017</v>
      </c>
      <c r="D48" s="19">
        <v>0</v>
      </c>
      <c r="E48" s="19">
        <v>53380</v>
      </c>
      <c r="F48" s="20" t="s">
        <v>80</v>
      </c>
      <c r="J48" s="26" t="s">
        <v>163</v>
      </c>
      <c r="K48" s="18" t="s">
        <v>162</v>
      </c>
      <c r="L48" s="22">
        <f>VLOOKUP(C48,[1]Sheet1!$A$1:$K$85,11,0)</f>
        <v>2</v>
      </c>
      <c r="M48" s="22">
        <f>VLOOKUP(C48,[1]Sheet1!$A$1:$K$85,3,0)</f>
        <v>3</v>
      </c>
      <c r="N48" s="22">
        <f>VLOOKUP(C48,[1]Sheet1!$A$1:$AH$85,34,0)</f>
        <v>0</v>
      </c>
      <c r="O48" s="22" t="str">
        <f>MID(VLOOKUP(C48,[1]Sheet1!$A$1:$AH$85,12,0),2,1)</f>
        <v>1</v>
      </c>
      <c r="P48" s="22" t="str">
        <f>MID(VLOOKUP(C48,[1]Sheet1!$A$1:$AH$85,12,0),4,1)</f>
        <v>2</v>
      </c>
      <c r="Q48" s="22" t="str">
        <f>MID(VLOOKUP(C48,[1]Sheet1!$A$1:$AH$85,12,0),6,1)</f>
        <v/>
      </c>
      <c r="R48" s="22" t="str">
        <f>MID(VLOOKUP(C48,[1]Sheet1!$A$1:$AH$85,12,0),8,1)</f>
        <v/>
      </c>
      <c r="T48" s="23" t="s">
        <v>164</v>
      </c>
    </row>
    <row r="49" spans="1:20">
      <c r="A49" s="26">
        <v>3018</v>
      </c>
      <c r="B49" s="27">
        <v>103018</v>
      </c>
      <c r="C49" s="19">
        <v>3018</v>
      </c>
      <c r="D49" s="19">
        <v>0</v>
      </c>
      <c r="E49" s="19">
        <v>18704</v>
      </c>
      <c r="F49" s="20" t="s">
        <v>165</v>
      </c>
      <c r="J49" s="26" t="s">
        <v>166</v>
      </c>
      <c r="K49" s="18" t="s">
        <v>167</v>
      </c>
      <c r="L49" s="22">
        <f>VLOOKUP(C49,[1]Sheet1!$A$1:$K$85,11,0)</f>
        <v>4</v>
      </c>
      <c r="M49" s="22">
        <f>VLOOKUP(C49,[1]Sheet1!$A$1:$K$85,3,0)</f>
        <v>4</v>
      </c>
      <c r="N49" s="22">
        <f>VLOOKUP(C49,[1]Sheet1!$A$1:$AH$85,34,0)</f>
        <v>0</v>
      </c>
      <c r="O49" s="22" t="str">
        <f>MID(VLOOKUP(C49,[1]Sheet1!$A$1:$AH$85,12,0),2,1)</f>
        <v>1</v>
      </c>
      <c r="P49" s="22" t="str">
        <f>MID(VLOOKUP(C49,[1]Sheet1!$A$1:$AH$85,12,0),4,1)</f>
        <v/>
      </c>
      <c r="Q49" s="22" t="str">
        <f>MID(VLOOKUP(C49,[1]Sheet1!$A$1:$AH$85,12,0),6,1)</f>
        <v/>
      </c>
      <c r="R49" s="22" t="str">
        <f>MID(VLOOKUP(C49,[1]Sheet1!$A$1:$AH$85,12,0),8,1)</f>
        <v/>
      </c>
      <c r="T49" s="23" t="s">
        <v>168</v>
      </c>
    </row>
    <row r="50" spans="1:20">
      <c r="A50" s="26">
        <v>3019</v>
      </c>
      <c r="B50" s="27">
        <v>103019</v>
      </c>
      <c r="C50" s="19">
        <v>3019</v>
      </c>
      <c r="D50" s="19">
        <v>0</v>
      </c>
      <c r="E50" s="19">
        <v>66692</v>
      </c>
      <c r="F50" s="20" t="s">
        <v>84</v>
      </c>
      <c r="J50" s="26" t="s">
        <v>169</v>
      </c>
      <c r="K50" s="18" t="s">
        <v>170</v>
      </c>
      <c r="L50" s="22">
        <f>VLOOKUP(C50,[1]Sheet1!$A$1:$K$85,11,0)</f>
        <v>2</v>
      </c>
      <c r="M50" s="22">
        <f>VLOOKUP(C50,[1]Sheet1!$A$1:$K$85,3,0)</f>
        <v>3</v>
      </c>
      <c r="N50" s="22">
        <f>VLOOKUP(C50,[1]Sheet1!$A$1:$AH$85,34,0)</f>
        <v>0</v>
      </c>
      <c r="O50" s="22" t="str">
        <f>MID(VLOOKUP(C50,[1]Sheet1!$A$1:$AH$85,12,0),2,1)</f>
        <v>3</v>
      </c>
      <c r="P50" s="22" t="str">
        <f>MID(VLOOKUP(C50,[1]Sheet1!$A$1:$AH$85,12,0),4,1)</f>
        <v/>
      </c>
      <c r="Q50" s="22" t="str">
        <f>MID(VLOOKUP(C50,[1]Sheet1!$A$1:$AH$85,12,0),6,1)</f>
        <v/>
      </c>
      <c r="R50" s="22" t="str">
        <f>MID(VLOOKUP(C50,[1]Sheet1!$A$1:$AH$85,12,0),8,1)</f>
        <v/>
      </c>
      <c r="T50" s="23" t="s">
        <v>94</v>
      </c>
    </row>
    <row r="51" spans="1:20">
      <c r="A51" s="26">
        <v>3021</v>
      </c>
      <c r="B51" s="27">
        <v>103021</v>
      </c>
      <c r="C51" s="19">
        <v>3021</v>
      </c>
      <c r="D51" s="19">
        <v>0</v>
      </c>
      <c r="E51" s="19">
        <v>1069192</v>
      </c>
      <c r="F51" s="20" t="s">
        <v>80</v>
      </c>
      <c r="J51" s="26" t="s">
        <v>171</v>
      </c>
      <c r="K51" s="18" t="s">
        <v>172</v>
      </c>
      <c r="L51" s="22">
        <f>VLOOKUP(C51,[1]Sheet1!$A$1:$K$85,11,0)</f>
        <v>3</v>
      </c>
      <c r="M51" s="22">
        <f>VLOOKUP(C51,[1]Sheet1!$A$1:$K$85,3,0)</f>
        <v>3</v>
      </c>
      <c r="N51" s="22">
        <f>VLOOKUP(C51,[1]Sheet1!$A$1:$AH$85,34,0)</f>
        <v>0</v>
      </c>
      <c r="O51" s="22" t="str">
        <f>MID(VLOOKUP(C51,[1]Sheet1!$A$1:$AH$85,12,0),2,1)</f>
        <v>1</v>
      </c>
      <c r="P51" s="22" t="str">
        <f>MID(VLOOKUP(C51,[1]Sheet1!$A$1:$AH$85,12,0),4,1)</f>
        <v>7</v>
      </c>
      <c r="Q51" s="22" t="str">
        <f>MID(VLOOKUP(C51,[1]Sheet1!$A$1:$AH$85,12,0),6,1)</f>
        <v/>
      </c>
      <c r="R51" s="22" t="str">
        <f>MID(VLOOKUP(C51,[1]Sheet1!$A$1:$AH$85,12,0),8,1)</f>
        <v/>
      </c>
      <c r="T51" s="23" t="s">
        <v>110</v>
      </c>
    </row>
    <row r="52" spans="1:20">
      <c r="A52" s="26">
        <v>4000</v>
      </c>
      <c r="B52" s="27">
        <v>104000</v>
      </c>
      <c r="C52" s="19">
        <v>4000</v>
      </c>
      <c r="D52" s="19">
        <v>0</v>
      </c>
      <c r="E52" s="19">
        <v>574600</v>
      </c>
      <c r="F52" s="20" t="s">
        <v>84</v>
      </c>
      <c r="J52" s="35" t="s">
        <v>173</v>
      </c>
      <c r="K52" s="18" t="s">
        <v>174</v>
      </c>
      <c r="L52" s="22">
        <f>VLOOKUP(C52,[1]Sheet1!$A$1:$K$85,11,0)</f>
        <v>3</v>
      </c>
      <c r="M52" s="22">
        <f>VLOOKUP(C52,[1]Sheet1!$A$1:$K$85,3,0)</f>
        <v>3</v>
      </c>
      <c r="N52" s="22">
        <f>VLOOKUP(C52,[1]Sheet1!$A$1:$AH$85,34,0)</f>
        <v>0</v>
      </c>
      <c r="O52" s="22" t="str">
        <f>MID(VLOOKUP(C52,[1]Sheet1!$A$1:$AH$85,12,0),2,1)</f>
        <v>1</v>
      </c>
      <c r="P52" s="22" t="str">
        <f>MID(VLOOKUP(C52,[1]Sheet1!$A$1:$AH$85,12,0),4,1)</f>
        <v>2</v>
      </c>
      <c r="Q52" s="22" t="str">
        <f>MID(VLOOKUP(C52,[1]Sheet1!$A$1:$AH$85,12,0),6,1)</f>
        <v/>
      </c>
      <c r="R52" s="22" t="str">
        <f>MID(VLOOKUP(C52,[1]Sheet1!$A$1:$AH$85,12,0),8,1)</f>
        <v/>
      </c>
      <c r="T52" s="23" t="s">
        <v>144</v>
      </c>
    </row>
    <row r="53" spans="1:20">
      <c r="A53" s="26">
        <v>4001</v>
      </c>
      <c r="B53" s="27">
        <v>104001</v>
      </c>
      <c r="C53" s="19">
        <v>4001</v>
      </c>
      <c r="D53" s="19">
        <v>0</v>
      </c>
      <c r="E53" s="19">
        <v>1069316</v>
      </c>
      <c r="F53" s="20" t="s">
        <v>175</v>
      </c>
      <c r="J53" s="35" t="s">
        <v>176</v>
      </c>
      <c r="K53" s="18" t="s">
        <v>177</v>
      </c>
      <c r="L53" s="22">
        <f>VLOOKUP(C53,[1]Sheet1!$A$1:$K$85,11,0)</f>
        <v>2</v>
      </c>
      <c r="M53" s="22">
        <f>VLOOKUP(C53,[1]Sheet1!$A$1:$K$85,3,0)</f>
        <v>4</v>
      </c>
      <c r="N53" s="22">
        <f>VLOOKUP(C53,[1]Sheet1!$A$1:$AH$85,34,0)</f>
        <v>0</v>
      </c>
      <c r="O53" s="22" t="str">
        <f>MID(VLOOKUP(C53,[1]Sheet1!$A$1:$AH$85,12,0),2,1)</f>
        <v>1</v>
      </c>
      <c r="P53" s="22" t="str">
        <f>MID(VLOOKUP(C53,[1]Sheet1!$A$1:$AH$85,12,0),4,1)</f>
        <v>7</v>
      </c>
      <c r="Q53" s="22" t="str">
        <f>MID(VLOOKUP(C53,[1]Sheet1!$A$1:$AH$85,12,0),6,1)</f>
        <v/>
      </c>
      <c r="R53" s="22" t="str">
        <f>MID(VLOOKUP(C53,[1]Sheet1!$A$1:$AH$85,12,0),8,1)</f>
        <v/>
      </c>
      <c r="T53" s="23" t="s">
        <v>178</v>
      </c>
    </row>
    <row r="54" spans="1:20">
      <c r="A54" s="26">
        <v>4002</v>
      </c>
      <c r="B54" s="27">
        <v>104002</v>
      </c>
      <c r="C54" s="19">
        <v>4002</v>
      </c>
      <c r="D54" s="19">
        <v>0</v>
      </c>
      <c r="E54" s="19">
        <v>1082512</v>
      </c>
      <c r="F54" s="20" t="s">
        <v>84</v>
      </c>
      <c r="J54" s="35" t="s">
        <v>179</v>
      </c>
      <c r="K54" s="18" t="s">
        <v>180</v>
      </c>
      <c r="L54" s="22">
        <f>VLOOKUP(C54,[1]Sheet1!$A$1:$K$85,11,0)</f>
        <v>4</v>
      </c>
      <c r="M54" s="22">
        <f>VLOOKUP(C54,[1]Sheet1!$A$1:$K$85,3,0)</f>
        <v>3</v>
      </c>
      <c r="N54" s="22">
        <f>VLOOKUP(C54,[1]Sheet1!$A$1:$AH$85,34,0)</f>
        <v>0</v>
      </c>
      <c r="O54" s="22" t="str">
        <f>MID(VLOOKUP(C54,[1]Sheet1!$A$1:$AH$85,12,0),2,1)</f>
        <v>2</v>
      </c>
      <c r="P54" s="22" t="str">
        <f>MID(VLOOKUP(C54,[1]Sheet1!$A$1:$AH$85,12,0),4,1)</f>
        <v>7</v>
      </c>
      <c r="Q54" s="22" t="str">
        <f>MID(VLOOKUP(C54,[1]Sheet1!$A$1:$AH$85,12,0),6,1)</f>
        <v/>
      </c>
      <c r="R54" s="22" t="str">
        <f>MID(VLOOKUP(C54,[1]Sheet1!$A$1:$AH$85,12,0),8,1)</f>
        <v/>
      </c>
      <c r="T54" s="23" t="s">
        <v>130</v>
      </c>
    </row>
    <row r="55" spans="1:20">
      <c r="A55" s="26">
        <v>4004</v>
      </c>
      <c r="B55" s="27">
        <v>104004</v>
      </c>
      <c r="C55" s="19">
        <v>4004</v>
      </c>
      <c r="D55" s="19">
        <v>0</v>
      </c>
      <c r="E55" s="19">
        <v>574608</v>
      </c>
      <c r="F55" s="20" t="s">
        <v>84</v>
      </c>
      <c r="J55" s="35" t="s">
        <v>181</v>
      </c>
      <c r="K55" s="18" t="s">
        <v>182</v>
      </c>
      <c r="L55" s="22">
        <f>VLOOKUP(C55,[1]Sheet1!$A$1:$K$85,11,0)</f>
        <v>4</v>
      </c>
      <c r="M55" s="22">
        <f>VLOOKUP(C55,[1]Sheet1!$A$1:$K$85,3,0)</f>
        <v>3</v>
      </c>
      <c r="N55" s="22">
        <f>VLOOKUP(C55,[1]Sheet1!$A$1:$AH$85,34,0)</f>
        <v>0</v>
      </c>
      <c r="O55" s="22" t="str">
        <f>MID(VLOOKUP(C55,[1]Sheet1!$A$1:$AH$85,12,0),2,1)</f>
        <v>1</v>
      </c>
      <c r="P55" s="22" t="str">
        <f>MID(VLOOKUP(C55,[1]Sheet1!$A$1:$AH$85,12,0),4,1)</f>
        <v>2</v>
      </c>
      <c r="Q55" s="22" t="str">
        <f>MID(VLOOKUP(C55,[1]Sheet1!$A$1:$AH$85,12,0),6,1)</f>
        <v/>
      </c>
      <c r="R55" s="22" t="str">
        <f>MID(VLOOKUP(C55,[1]Sheet1!$A$1:$AH$85,12,0),8,1)</f>
        <v/>
      </c>
      <c r="T55" s="23" t="s">
        <v>130</v>
      </c>
    </row>
    <row r="56" spans="1:20">
      <c r="A56" s="26">
        <v>4005</v>
      </c>
      <c r="B56" s="27">
        <v>104005</v>
      </c>
      <c r="C56" s="19">
        <v>4005</v>
      </c>
      <c r="D56" s="19">
        <v>0</v>
      </c>
      <c r="E56" s="19">
        <v>1100040</v>
      </c>
      <c r="F56" s="20" t="s">
        <v>165</v>
      </c>
      <c r="J56" s="35" t="s">
        <v>183</v>
      </c>
      <c r="K56" s="18" t="s">
        <v>184</v>
      </c>
      <c r="L56" s="22">
        <f>VLOOKUP(C56,[1]Sheet1!$A$1:$K$85,11,0)</f>
        <v>3</v>
      </c>
      <c r="M56" s="22">
        <f>VLOOKUP(C56,[1]Sheet1!$A$1:$K$85,3,0)</f>
        <v>4</v>
      </c>
      <c r="N56" s="22">
        <f>VLOOKUP(C56,[1]Sheet1!$A$1:$AH$85,34,0)</f>
        <v>0</v>
      </c>
      <c r="O56" s="22" t="str">
        <f>MID(VLOOKUP(C56,[1]Sheet1!$A$1:$AH$85,12,0),2,1)</f>
        <v>1</v>
      </c>
      <c r="P56" s="22" t="str">
        <f>MID(VLOOKUP(C56,[1]Sheet1!$A$1:$AH$85,12,0),4,1)</f>
        <v>2</v>
      </c>
      <c r="Q56" s="22" t="str">
        <f>MID(VLOOKUP(C56,[1]Sheet1!$A$1:$AH$85,12,0),6,1)</f>
        <v/>
      </c>
      <c r="R56" s="22" t="str">
        <f>MID(VLOOKUP(C56,[1]Sheet1!$A$1:$AH$85,12,0),8,1)</f>
        <v/>
      </c>
      <c r="T56" s="23" t="s">
        <v>185</v>
      </c>
    </row>
    <row r="57" spans="1:20">
      <c r="A57" s="26">
        <v>4006</v>
      </c>
      <c r="B57" s="27">
        <v>104006</v>
      </c>
      <c r="C57" s="19">
        <v>4006</v>
      </c>
      <c r="D57" s="19">
        <v>0</v>
      </c>
      <c r="E57" s="19">
        <v>1102088</v>
      </c>
      <c r="F57" s="20" t="s">
        <v>175</v>
      </c>
      <c r="J57" s="35" t="s">
        <v>186</v>
      </c>
      <c r="K57" s="18" t="s">
        <v>187</v>
      </c>
      <c r="L57" s="22">
        <f>VLOOKUP(C57,[1]Sheet1!$A$1:$K$85,11,0)</f>
        <v>3</v>
      </c>
      <c r="M57" s="22">
        <f>VLOOKUP(C57,[1]Sheet1!$A$1:$K$85,3,0)</f>
        <v>4</v>
      </c>
      <c r="N57" s="22">
        <f>VLOOKUP(C57,[1]Sheet1!$A$1:$AH$85,34,0)</f>
        <v>0</v>
      </c>
      <c r="O57" s="22" t="str">
        <f>MID(VLOOKUP(C57,[1]Sheet1!$A$1:$AH$85,12,0),2,1)</f>
        <v>1</v>
      </c>
      <c r="P57" s="22" t="str">
        <f>MID(VLOOKUP(C57,[1]Sheet1!$A$1:$AH$85,12,0),4,1)</f>
        <v>2</v>
      </c>
      <c r="Q57" s="22" t="str">
        <f>MID(VLOOKUP(C57,[1]Sheet1!$A$1:$AH$85,12,0),6,1)</f>
        <v/>
      </c>
      <c r="R57" s="22" t="str">
        <f>MID(VLOOKUP(C57,[1]Sheet1!$A$1:$AH$85,12,0),8,1)</f>
        <v/>
      </c>
      <c r="T57" s="23" t="s">
        <v>188</v>
      </c>
    </row>
    <row r="58" spans="1:20">
      <c r="A58" s="26">
        <v>4007</v>
      </c>
      <c r="B58" s="27">
        <v>104007</v>
      </c>
      <c r="C58" s="19">
        <v>4007</v>
      </c>
      <c r="D58" s="19">
        <v>0</v>
      </c>
      <c r="E58" s="19">
        <v>83080</v>
      </c>
      <c r="F58" s="20" t="s">
        <v>84</v>
      </c>
      <c r="J58" s="35" t="s">
        <v>189</v>
      </c>
      <c r="K58" s="18" t="s">
        <v>190</v>
      </c>
      <c r="L58" s="22">
        <f>VLOOKUP(C58,[1]Sheet1!$A$1:$K$85,11,0)</f>
        <v>3</v>
      </c>
      <c r="M58" s="22">
        <f>VLOOKUP(C58,[1]Sheet1!$A$1:$K$85,3,0)</f>
        <v>3</v>
      </c>
      <c r="N58" s="22">
        <f>VLOOKUP(C58,[1]Sheet1!$A$1:$AH$85,34,0)</f>
        <v>0</v>
      </c>
      <c r="O58" s="22" t="str">
        <f>MID(VLOOKUP(C58,[1]Sheet1!$A$1:$AH$85,12,0),2,1)</f>
        <v>3</v>
      </c>
      <c r="P58" s="22" t="str">
        <f>MID(VLOOKUP(C58,[1]Sheet1!$A$1:$AH$85,12,0),4,1)</f>
        <v>1</v>
      </c>
      <c r="Q58" s="22" t="str">
        <f>MID(VLOOKUP(C58,[1]Sheet1!$A$1:$AH$85,12,0),6,1)</f>
        <v/>
      </c>
      <c r="R58" s="22" t="str">
        <f>MID(VLOOKUP(C58,[1]Sheet1!$A$1:$AH$85,12,0),8,1)</f>
        <v/>
      </c>
      <c r="T58" s="23" t="s">
        <v>144</v>
      </c>
    </row>
    <row r="59" spans="1:20">
      <c r="A59" s="26">
        <v>4009</v>
      </c>
      <c r="B59" s="27">
        <v>104009</v>
      </c>
      <c r="C59" s="19">
        <v>4009</v>
      </c>
      <c r="D59" s="19">
        <v>0</v>
      </c>
      <c r="E59" s="19">
        <v>1626384</v>
      </c>
      <c r="F59" s="20" t="s">
        <v>175</v>
      </c>
      <c r="J59" s="35" t="s">
        <v>191</v>
      </c>
      <c r="K59" s="18" t="s">
        <v>192</v>
      </c>
      <c r="L59" s="22">
        <f>VLOOKUP(C59,[1]Sheet1!$A$1:$K$85,11,0)</f>
        <v>4</v>
      </c>
      <c r="M59" s="22">
        <f>VLOOKUP(C59,[1]Sheet1!$A$1:$K$85,3,0)</f>
        <v>4</v>
      </c>
      <c r="N59" s="22">
        <f>VLOOKUP(C59,[1]Sheet1!$A$1:$AH$85,34,0)</f>
        <v>0</v>
      </c>
      <c r="O59" s="22" t="str">
        <f>MID(VLOOKUP(C59,[1]Sheet1!$A$1:$AH$85,12,0),2,1)</f>
        <v>1</v>
      </c>
      <c r="P59" s="22" t="str">
        <f>MID(VLOOKUP(C59,[1]Sheet1!$A$1:$AH$85,12,0),4,1)</f>
        <v>6</v>
      </c>
      <c r="Q59" s="22" t="str">
        <f>MID(VLOOKUP(C59,[1]Sheet1!$A$1:$AH$85,12,0),6,1)</f>
        <v/>
      </c>
      <c r="R59" s="22" t="str">
        <f>MID(VLOOKUP(C59,[1]Sheet1!$A$1:$AH$85,12,0),8,1)</f>
        <v/>
      </c>
      <c r="T59" s="23" t="s">
        <v>193</v>
      </c>
    </row>
    <row r="60" spans="1:20">
      <c r="A60" s="26">
        <v>4012</v>
      </c>
      <c r="B60" s="27">
        <v>104012</v>
      </c>
      <c r="C60" s="19">
        <v>4012</v>
      </c>
      <c r="D60" s="19">
        <v>0</v>
      </c>
      <c r="E60" s="19">
        <v>1098376</v>
      </c>
      <c r="F60" s="20" t="s">
        <v>111</v>
      </c>
      <c r="J60" s="35" t="s">
        <v>194</v>
      </c>
      <c r="K60" s="18" t="s">
        <v>195</v>
      </c>
      <c r="L60" s="22">
        <f>VLOOKUP(C60,[1]Sheet1!$A$1:$K$85,11,0)</f>
        <v>3</v>
      </c>
      <c r="M60" s="22">
        <f>VLOOKUP(C60,[1]Sheet1!$A$1:$K$85,3,0)</f>
        <v>3</v>
      </c>
      <c r="N60" s="22">
        <f>VLOOKUP(C60,[1]Sheet1!$A$1:$AH$85,34,0)</f>
        <v>0</v>
      </c>
      <c r="O60" s="22" t="str">
        <f>MID(VLOOKUP(C60,[1]Sheet1!$A$1:$AH$85,12,0),2,1)</f>
        <v>1</v>
      </c>
      <c r="P60" s="22" t="str">
        <f>MID(VLOOKUP(C60,[1]Sheet1!$A$1:$AH$85,12,0),4,1)</f>
        <v>7</v>
      </c>
      <c r="Q60" s="22" t="str">
        <f>MID(VLOOKUP(C60,[1]Sheet1!$A$1:$AH$85,12,0),6,1)</f>
        <v/>
      </c>
      <c r="R60" s="22" t="str">
        <f>MID(VLOOKUP(C60,[1]Sheet1!$A$1:$AH$85,12,0),8,1)</f>
        <v/>
      </c>
      <c r="T60" s="23" t="s">
        <v>136</v>
      </c>
    </row>
    <row r="61" spans="1:20">
      <c r="A61" s="26">
        <v>4014</v>
      </c>
      <c r="B61" s="27">
        <v>104014</v>
      </c>
      <c r="C61" s="19">
        <v>4014</v>
      </c>
      <c r="D61" s="19">
        <v>0</v>
      </c>
      <c r="E61" s="19">
        <v>1376900</v>
      </c>
      <c r="F61" s="20" t="s">
        <v>111</v>
      </c>
      <c r="J61" s="35" t="s">
        <v>196</v>
      </c>
      <c r="K61" s="18" t="s">
        <v>197</v>
      </c>
      <c r="L61" s="22">
        <f>VLOOKUP(C61,[1]Sheet1!$A$1:$K$85,11,0)</f>
        <v>2</v>
      </c>
      <c r="M61" s="22">
        <f>VLOOKUP(C61,[1]Sheet1!$A$1:$K$85,3,0)</f>
        <v>3</v>
      </c>
      <c r="N61" s="22">
        <f>VLOOKUP(C61,[1]Sheet1!$A$1:$AH$85,34,0)</f>
        <v>0</v>
      </c>
      <c r="O61" s="22" t="str">
        <f>MID(VLOOKUP(C61,[1]Sheet1!$A$1:$AH$85,12,0),2,1)</f>
        <v>3</v>
      </c>
      <c r="P61" s="22" t="str">
        <f>MID(VLOOKUP(C61,[1]Sheet1!$A$1:$AH$85,12,0),4,1)</f>
        <v>5</v>
      </c>
      <c r="Q61" s="22" t="str">
        <f>MID(VLOOKUP(C61,[1]Sheet1!$A$1:$AH$85,12,0),6,1)</f>
        <v/>
      </c>
      <c r="R61" s="22" t="str">
        <f>MID(VLOOKUP(C61,[1]Sheet1!$A$1:$AH$85,12,0),8,1)</f>
        <v/>
      </c>
      <c r="T61" s="23" t="s">
        <v>114</v>
      </c>
    </row>
    <row r="62" spans="1:20">
      <c r="A62" s="26">
        <v>4015</v>
      </c>
      <c r="B62" s="27">
        <v>104015</v>
      </c>
      <c r="C62" s="19">
        <v>4015</v>
      </c>
      <c r="D62" s="19">
        <v>0</v>
      </c>
      <c r="E62" s="19">
        <v>577668</v>
      </c>
      <c r="F62" s="20" t="s">
        <v>80</v>
      </c>
      <c r="J62" s="35" t="s">
        <v>198</v>
      </c>
      <c r="K62" s="18" t="s">
        <v>199</v>
      </c>
      <c r="L62" s="22">
        <f>VLOOKUP(C62,[1]Sheet1!$A$1:$K$85,11,0)</f>
        <v>2</v>
      </c>
      <c r="M62" s="22">
        <f>VLOOKUP(C62,[1]Sheet1!$A$1:$K$85,3,0)</f>
        <v>3</v>
      </c>
      <c r="N62" s="22">
        <f>VLOOKUP(C62,[1]Sheet1!$A$1:$AH$85,34,0)</f>
        <v>0</v>
      </c>
      <c r="O62" s="22" t="str">
        <f>MID(VLOOKUP(C62,[1]Sheet1!$A$1:$AH$85,12,0),2,1)</f>
        <v>1</v>
      </c>
      <c r="P62" s="22" t="str">
        <f>MID(VLOOKUP(C62,[1]Sheet1!$A$1:$AH$85,12,0),4,1)</f>
        <v>6</v>
      </c>
      <c r="Q62" s="22" t="str">
        <f>MID(VLOOKUP(C62,[1]Sheet1!$A$1:$AH$85,12,0),6,1)</f>
        <v/>
      </c>
      <c r="R62" s="22" t="str">
        <f>MID(VLOOKUP(C62,[1]Sheet1!$A$1:$AH$85,12,0),8,1)</f>
        <v/>
      </c>
      <c r="T62" s="23" t="s">
        <v>164</v>
      </c>
    </row>
    <row r="63" spans="1:20">
      <c r="A63" s="26">
        <v>4016</v>
      </c>
      <c r="B63" s="27">
        <v>104016</v>
      </c>
      <c r="C63" s="19">
        <v>4016</v>
      </c>
      <c r="D63" s="19">
        <v>0</v>
      </c>
      <c r="E63" s="19">
        <v>115344</v>
      </c>
      <c r="F63" s="20" t="s">
        <v>111</v>
      </c>
      <c r="J63" s="35" t="s">
        <v>200</v>
      </c>
      <c r="K63" s="18" t="s">
        <v>201</v>
      </c>
      <c r="L63" s="22">
        <f>VLOOKUP(C63,[1]Sheet1!$A$1:$K$85,11,0)</f>
        <v>4</v>
      </c>
      <c r="M63" s="22">
        <f>VLOOKUP(C63,[1]Sheet1!$A$1:$K$85,3,0)</f>
        <v>3</v>
      </c>
      <c r="N63" s="22">
        <f>VLOOKUP(C63,[1]Sheet1!$A$1:$AH$85,34,0)</f>
        <v>0</v>
      </c>
      <c r="O63" s="22" t="str">
        <f>MID(VLOOKUP(C63,[1]Sheet1!$A$1:$AH$85,12,0),2,1)</f>
        <v>1</v>
      </c>
      <c r="P63" s="22" t="str">
        <f>MID(VLOOKUP(C63,[1]Sheet1!$A$1:$AH$85,12,0),4,1)</f>
        <v>3</v>
      </c>
      <c r="Q63" s="22" t="str">
        <f>MID(VLOOKUP(C63,[1]Sheet1!$A$1:$AH$85,12,0),6,1)</f>
        <v/>
      </c>
      <c r="R63" s="22" t="str">
        <f>MID(VLOOKUP(C63,[1]Sheet1!$A$1:$AH$85,12,0),8,1)</f>
        <v/>
      </c>
      <c r="T63" s="23" t="s">
        <v>133</v>
      </c>
    </row>
    <row r="64" spans="1:20">
      <c r="A64" s="26">
        <v>4017</v>
      </c>
      <c r="B64" s="27">
        <v>104017</v>
      </c>
      <c r="C64" s="19">
        <v>4017</v>
      </c>
      <c r="D64" s="19">
        <v>0</v>
      </c>
      <c r="E64" s="19">
        <v>53506</v>
      </c>
      <c r="F64" s="20" t="s">
        <v>175</v>
      </c>
      <c r="J64" s="35" t="s">
        <v>202</v>
      </c>
      <c r="K64" s="18" t="s">
        <v>162</v>
      </c>
      <c r="L64" s="22">
        <f>VLOOKUP(C64,[1]Sheet1!$A$1:$K$85,11,0)</f>
        <v>1</v>
      </c>
      <c r="M64" s="22">
        <f>VLOOKUP(C64,[1]Sheet1!$A$1:$K$85,3,0)</f>
        <v>4</v>
      </c>
      <c r="N64" s="22">
        <f>VLOOKUP(C64,[1]Sheet1!$A$1:$AH$85,34,0)</f>
        <v>0</v>
      </c>
      <c r="O64" s="22" t="str">
        <f>MID(VLOOKUP(C64,[1]Sheet1!$A$1:$AH$85,12,0),2,1)</f>
        <v>1</v>
      </c>
      <c r="P64" s="22" t="str">
        <f>MID(VLOOKUP(C64,[1]Sheet1!$A$1:$AH$85,12,0),4,1)</f>
        <v>2</v>
      </c>
      <c r="Q64" s="22" t="str">
        <f>MID(VLOOKUP(C64,[1]Sheet1!$A$1:$AH$85,12,0),6,1)</f>
        <v/>
      </c>
      <c r="R64" s="22" t="str">
        <f>MID(VLOOKUP(C64,[1]Sheet1!$A$1:$AH$85,12,0),8,1)</f>
        <v/>
      </c>
      <c r="T64" s="23" t="s">
        <v>203</v>
      </c>
    </row>
    <row r="65" spans="1:20">
      <c r="A65" s="26">
        <v>4018</v>
      </c>
      <c r="B65" s="27">
        <v>104018</v>
      </c>
      <c r="C65" s="19">
        <v>4018</v>
      </c>
      <c r="D65" s="19">
        <v>0</v>
      </c>
      <c r="E65" s="19">
        <v>1589896</v>
      </c>
      <c r="F65" s="20" t="s">
        <v>111</v>
      </c>
      <c r="J65" s="35" t="s">
        <v>204</v>
      </c>
      <c r="K65" s="18" t="s">
        <v>205</v>
      </c>
      <c r="L65" s="22">
        <f>VLOOKUP(C65,[1]Sheet1!$A$1:$K$85,11,0)</f>
        <v>3</v>
      </c>
      <c r="M65" s="22">
        <f>VLOOKUP(C65,[1]Sheet1!$A$1:$K$85,3,0)</f>
        <v>3</v>
      </c>
      <c r="N65" s="22">
        <f>VLOOKUP(C65,[1]Sheet1!$A$1:$AH$85,34,0)</f>
        <v>0</v>
      </c>
      <c r="O65" s="22" t="str">
        <f>MID(VLOOKUP(C65,[1]Sheet1!$A$1:$AH$85,12,0),2,1)</f>
        <v>1</v>
      </c>
      <c r="P65" s="22" t="str">
        <f>MID(VLOOKUP(C65,[1]Sheet1!$A$1:$AH$85,12,0),4,1)</f>
        <v>6</v>
      </c>
      <c r="Q65" s="22" t="str">
        <f>MID(VLOOKUP(C65,[1]Sheet1!$A$1:$AH$85,12,0),6,1)</f>
        <v/>
      </c>
      <c r="R65" s="22" t="str">
        <f>MID(VLOOKUP(C65,[1]Sheet1!$A$1:$AH$85,12,0),8,1)</f>
        <v/>
      </c>
      <c r="T65" s="23" t="s">
        <v>136</v>
      </c>
    </row>
    <row r="66" spans="1:20">
      <c r="A66" s="26">
        <v>4019</v>
      </c>
      <c r="B66" s="27">
        <v>104019</v>
      </c>
      <c r="C66" s="19">
        <v>4019</v>
      </c>
      <c r="D66" s="19">
        <v>0</v>
      </c>
      <c r="E66" s="19">
        <v>41104</v>
      </c>
      <c r="F66" s="20" t="s">
        <v>206</v>
      </c>
      <c r="J66" s="35" t="s">
        <v>207</v>
      </c>
      <c r="K66" s="18" t="s">
        <v>208</v>
      </c>
      <c r="L66" s="22">
        <f>VLOOKUP(C66,[1]Sheet1!$A$1:$K$85,11,0)</f>
        <v>4</v>
      </c>
      <c r="M66" s="22">
        <f>VLOOKUP(C66,[1]Sheet1!$A$1:$K$85,3,0)</f>
        <v>3</v>
      </c>
      <c r="N66" s="22">
        <f>VLOOKUP(C66,[1]Sheet1!$A$1:$AH$85,34,0)</f>
        <v>0</v>
      </c>
      <c r="O66" s="22" t="str">
        <f>MID(VLOOKUP(C66,[1]Sheet1!$A$1:$AH$85,12,0),2,1)</f>
        <v>2</v>
      </c>
      <c r="P66" s="22" t="str">
        <f>MID(VLOOKUP(C66,[1]Sheet1!$A$1:$AH$85,12,0),4,1)</f>
        <v/>
      </c>
      <c r="Q66" s="22" t="str">
        <f>MID(VLOOKUP(C66,[1]Sheet1!$A$1:$AH$85,12,0),6,1)</f>
        <v/>
      </c>
      <c r="R66" s="22" t="str">
        <f>MID(VLOOKUP(C66,[1]Sheet1!$A$1:$AH$85,12,0),8,1)</f>
        <v/>
      </c>
      <c r="T66" s="23" t="s">
        <v>209</v>
      </c>
    </row>
    <row r="67" spans="1:20">
      <c r="A67" s="26">
        <v>4021</v>
      </c>
      <c r="B67" s="27">
        <v>104021</v>
      </c>
      <c r="C67" s="19">
        <v>4021</v>
      </c>
      <c r="D67" s="19">
        <v>0</v>
      </c>
      <c r="E67" s="19">
        <v>575624</v>
      </c>
      <c r="F67" s="20" t="s">
        <v>88</v>
      </c>
      <c r="J67" s="35" t="s">
        <v>210</v>
      </c>
      <c r="K67" s="18" t="s">
        <v>211</v>
      </c>
      <c r="L67" s="22">
        <f>VLOOKUP(C67,[1]Sheet1!$A$1:$K$85,11,0)</f>
        <v>3</v>
      </c>
      <c r="M67" s="22">
        <f>VLOOKUP(C67,[1]Sheet1!$A$1:$K$85,3,0)</f>
        <v>3</v>
      </c>
      <c r="N67" s="22">
        <f>VLOOKUP(C67,[1]Sheet1!$A$1:$AH$85,34,0)</f>
        <v>0</v>
      </c>
      <c r="O67" s="22" t="str">
        <f>MID(VLOOKUP(C67,[1]Sheet1!$A$1:$AH$85,12,0),2,1)</f>
        <v>1</v>
      </c>
      <c r="P67" s="22" t="str">
        <f>MID(VLOOKUP(C67,[1]Sheet1!$A$1:$AH$85,12,0),4,1)</f>
        <v>6</v>
      </c>
      <c r="Q67" s="22" t="str">
        <f>MID(VLOOKUP(C67,[1]Sheet1!$A$1:$AH$85,12,0),6,1)</f>
        <v/>
      </c>
      <c r="R67" s="22" t="str">
        <f>MID(VLOOKUP(C67,[1]Sheet1!$A$1:$AH$85,12,0),8,1)</f>
        <v/>
      </c>
      <c r="T67" s="23" t="s">
        <v>212</v>
      </c>
    </row>
    <row r="68" spans="1:20">
      <c r="A68" s="26">
        <v>4022</v>
      </c>
      <c r="B68" s="27">
        <v>104022</v>
      </c>
      <c r="C68" s="19">
        <v>4022</v>
      </c>
      <c r="D68" s="19">
        <v>0</v>
      </c>
      <c r="E68" s="19">
        <v>1328388</v>
      </c>
      <c r="F68" s="20" t="s">
        <v>153</v>
      </c>
      <c r="J68" s="35" t="s">
        <v>213</v>
      </c>
      <c r="K68" s="18" t="s">
        <v>214</v>
      </c>
      <c r="L68" s="22">
        <f>VLOOKUP(C68,[1]Sheet1!$A$1:$K$85,11,0)</f>
        <v>2</v>
      </c>
      <c r="M68" s="22">
        <f>VLOOKUP(C68,[1]Sheet1!$A$1:$K$85,3,0)</f>
        <v>4</v>
      </c>
      <c r="N68" s="22">
        <f>VLOOKUP(C68,[1]Sheet1!$A$1:$AH$85,34,0)</f>
        <v>0</v>
      </c>
      <c r="O68" s="22" t="str">
        <f>MID(VLOOKUP(C68,[1]Sheet1!$A$1:$AH$85,12,0),2,1)</f>
        <v>1</v>
      </c>
      <c r="P68" s="22" t="str">
        <f>MID(VLOOKUP(C68,[1]Sheet1!$A$1:$AH$85,12,0),4,1)</f>
        <v>5</v>
      </c>
      <c r="Q68" s="22" t="str">
        <f>MID(VLOOKUP(C68,[1]Sheet1!$A$1:$AH$85,12,0),6,1)</f>
        <v/>
      </c>
      <c r="R68" s="22" t="str">
        <f>MID(VLOOKUP(C68,[1]Sheet1!$A$1:$AH$85,12,0),8,1)</f>
        <v/>
      </c>
      <c r="T68" s="23" t="s">
        <v>156</v>
      </c>
    </row>
    <row r="69" spans="1:20">
      <c r="A69" s="26">
        <v>4023</v>
      </c>
      <c r="B69" s="27">
        <v>104023</v>
      </c>
      <c r="C69" s="19">
        <v>4023</v>
      </c>
      <c r="D69" s="19">
        <v>0</v>
      </c>
      <c r="E69" s="19">
        <v>542864</v>
      </c>
      <c r="F69" s="20" t="s">
        <v>88</v>
      </c>
      <c r="J69" s="35" t="s">
        <v>215</v>
      </c>
      <c r="K69" s="18" t="s">
        <v>216</v>
      </c>
      <c r="L69" s="22">
        <f>VLOOKUP(C69,[1]Sheet1!$A$1:$K$85,11,0)</f>
        <v>4</v>
      </c>
      <c r="M69" s="22">
        <f>VLOOKUP(C69,[1]Sheet1!$A$1:$K$85,3,0)</f>
        <v>3</v>
      </c>
      <c r="N69" s="22">
        <f>VLOOKUP(C69,[1]Sheet1!$A$1:$AH$85,34,0)</f>
        <v>0</v>
      </c>
      <c r="O69" s="22" t="str">
        <f>MID(VLOOKUP(C69,[1]Sheet1!$A$1:$AH$85,12,0),2,1)</f>
        <v>1</v>
      </c>
      <c r="P69" s="22" t="str">
        <f>MID(VLOOKUP(C69,[1]Sheet1!$A$1:$AH$85,12,0),4,1)</f>
        <v>6</v>
      </c>
      <c r="Q69" s="22" t="str">
        <f>MID(VLOOKUP(C69,[1]Sheet1!$A$1:$AH$85,12,0),6,1)</f>
        <v/>
      </c>
      <c r="R69" s="22" t="str">
        <f>MID(VLOOKUP(C69,[1]Sheet1!$A$1:$AH$85,12,0),8,1)</f>
        <v/>
      </c>
      <c r="T69" s="23" t="s">
        <v>217</v>
      </c>
    </row>
    <row r="70" spans="1:20">
      <c r="A70" s="26">
        <v>4024</v>
      </c>
      <c r="B70" s="27">
        <v>104024</v>
      </c>
      <c r="C70" s="19">
        <v>4024</v>
      </c>
      <c r="D70" s="19">
        <v>0</v>
      </c>
      <c r="E70" s="19">
        <v>1098512</v>
      </c>
      <c r="F70" s="20" t="s">
        <v>218</v>
      </c>
      <c r="J70" s="41" t="s">
        <v>219</v>
      </c>
      <c r="K70" s="18" t="s">
        <v>220</v>
      </c>
      <c r="L70" s="22">
        <f>VLOOKUP(C70,[1]Sheet1!$A$1:$K$85,11,0)</f>
        <v>4</v>
      </c>
      <c r="M70" s="22">
        <f>VLOOKUP(C70,[1]Sheet1!$A$1:$K$85,3,0)</f>
        <v>4</v>
      </c>
      <c r="N70" s="22">
        <f>VLOOKUP(C70,[1]Sheet1!$A$1:$AH$85,34,0)</f>
        <v>0</v>
      </c>
      <c r="O70" s="22" t="str">
        <f>MID(VLOOKUP(C70,[1]Sheet1!$A$1:$AH$85,12,0),2,1)</f>
        <v>1</v>
      </c>
      <c r="P70" s="22" t="str">
        <f>MID(VLOOKUP(C70,[1]Sheet1!$A$1:$AH$85,12,0),4,1)</f>
        <v>2</v>
      </c>
      <c r="Q70" s="22" t="str">
        <f>MID(VLOOKUP(C70,[1]Sheet1!$A$1:$AH$85,12,0),6,1)</f>
        <v/>
      </c>
      <c r="R70" s="22" t="str">
        <f>MID(VLOOKUP(C70,[1]Sheet1!$A$1:$AH$85,12,0),8,1)</f>
        <v/>
      </c>
      <c r="T70" s="23" t="s">
        <v>221</v>
      </c>
    </row>
    <row r="71" spans="1:20">
      <c r="A71" s="26">
        <v>4025</v>
      </c>
      <c r="B71" s="27">
        <v>104025</v>
      </c>
      <c r="C71" s="19">
        <v>4025</v>
      </c>
      <c r="D71" s="19">
        <v>0</v>
      </c>
      <c r="E71" s="19">
        <v>1098504</v>
      </c>
      <c r="F71" s="20" t="s">
        <v>218</v>
      </c>
      <c r="J71" s="35" t="s">
        <v>222</v>
      </c>
      <c r="K71" s="18" t="s">
        <v>223</v>
      </c>
      <c r="L71" s="22">
        <f>VLOOKUP(C71,[1]Sheet1!$A$1:$K$85,11,0)</f>
        <v>3</v>
      </c>
      <c r="M71" s="22">
        <f>VLOOKUP(C71,[1]Sheet1!$A$1:$K$85,3,0)</f>
        <v>4</v>
      </c>
      <c r="N71" s="22">
        <f>VLOOKUP(C71,[1]Sheet1!$A$1:$AH$85,34,0)</f>
        <v>0</v>
      </c>
      <c r="O71" s="22" t="str">
        <f>MID(VLOOKUP(C71,[1]Sheet1!$A$1:$AH$85,12,0),2,1)</f>
        <v>1</v>
      </c>
      <c r="P71" s="22" t="str">
        <f>MID(VLOOKUP(C71,[1]Sheet1!$A$1:$AH$85,12,0),4,1)</f>
        <v>7</v>
      </c>
      <c r="Q71" s="22" t="str">
        <f>MID(VLOOKUP(C71,[1]Sheet1!$A$1:$AH$85,12,0),6,1)</f>
        <v/>
      </c>
      <c r="R71" s="22" t="str">
        <f>MID(VLOOKUP(C71,[1]Sheet1!$A$1:$AH$85,12,0),8,1)</f>
        <v/>
      </c>
      <c r="T71" s="23" t="s">
        <v>224</v>
      </c>
    </row>
    <row r="72" spans="1:20">
      <c r="A72" s="26">
        <v>4026</v>
      </c>
      <c r="B72" s="27">
        <v>104026</v>
      </c>
      <c r="C72" s="19">
        <v>4026</v>
      </c>
      <c r="D72" s="19">
        <v>0</v>
      </c>
      <c r="E72" s="19">
        <v>41224</v>
      </c>
      <c r="F72" s="20" t="s">
        <v>225</v>
      </c>
      <c r="J72" s="35" t="s">
        <v>226</v>
      </c>
      <c r="K72" s="18" t="s">
        <v>208</v>
      </c>
      <c r="L72" s="22">
        <f>VLOOKUP(C72,[1]Sheet1!$A$1:$K$85,11,0)</f>
        <v>3</v>
      </c>
      <c r="M72" s="22">
        <f>VLOOKUP(C72,[1]Sheet1!$A$1:$K$85,3,0)</f>
        <v>4</v>
      </c>
      <c r="N72" s="22">
        <f>VLOOKUP(C72,[1]Sheet1!$A$1:$AH$85,34,0)</f>
        <v>0</v>
      </c>
      <c r="O72" s="22" t="str">
        <f>MID(VLOOKUP(C72,[1]Sheet1!$A$1:$AH$85,12,0),2,1)</f>
        <v>2</v>
      </c>
      <c r="P72" s="22" t="str">
        <f>MID(VLOOKUP(C72,[1]Sheet1!$A$1:$AH$85,12,0),4,1)</f>
        <v/>
      </c>
      <c r="Q72" s="22" t="str">
        <f>MID(VLOOKUP(C72,[1]Sheet1!$A$1:$AH$85,12,0),6,1)</f>
        <v/>
      </c>
      <c r="R72" s="22" t="str">
        <f>MID(VLOOKUP(C72,[1]Sheet1!$A$1:$AH$85,12,0),8,1)</f>
        <v/>
      </c>
      <c r="T72" s="23" t="s">
        <v>227</v>
      </c>
    </row>
    <row r="73" spans="1:20">
      <c r="A73" s="26">
        <v>4027</v>
      </c>
      <c r="B73" s="27">
        <v>104027</v>
      </c>
      <c r="C73" s="19">
        <v>4027</v>
      </c>
      <c r="D73" s="19">
        <v>0</v>
      </c>
      <c r="E73" s="19">
        <v>1115408</v>
      </c>
      <c r="F73" s="20" t="s">
        <v>153</v>
      </c>
      <c r="J73" s="41" t="s">
        <v>228</v>
      </c>
      <c r="K73" s="18" t="s">
        <v>229</v>
      </c>
      <c r="L73" s="22">
        <f>VLOOKUP(C73,[1]Sheet1!$A$1:$K$85,11,0)</f>
        <v>4</v>
      </c>
      <c r="M73" s="22">
        <f>VLOOKUP(C73,[1]Sheet1!$A$1:$K$85,3,0)</f>
        <v>4</v>
      </c>
      <c r="N73" s="22">
        <f>VLOOKUP(C73,[1]Sheet1!$A$1:$AH$85,34,0)</f>
        <v>0</v>
      </c>
      <c r="O73" s="22" t="str">
        <f>MID(VLOOKUP(C73,[1]Sheet1!$A$1:$AH$85,12,0),2,1)</f>
        <v>3</v>
      </c>
      <c r="P73" s="22" t="str">
        <f>MID(VLOOKUP(C73,[1]Sheet1!$A$1:$AH$85,12,0),4,1)</f>
        <v>7</v>
      </c>
      <c r="Q73" s="22" t="str">
        <f>MID(VLOOKUP(C73,[1]Sheet1!$A$1:$AH$85,12,0),6,1)</f>
        <v/>
      </c>
      <c r="R73" s="22" t="str">
        <f>MID(VLOOKUP(C73,[1]Sheet1!$A$1:$AH$85,12,0),8,1)</f>
        <v/>
      </c>
      <c r="T73" s="23" t="s">
        <v>230</v>
      </c>
    </row>
    <row r="74" spans="1:20">
      <c r="A74" s="26">
        <v>4028</v>
      </c>
      <c r="B74" s="27">
        <v>104028</v>
      </c>
      <c r="C74" s="19">
        <v>4028</v>
      </c>
      <c r="D74" s="19">
        <v>0</v>
      </c>
      <c r="E74" s="19">
        <v>1066242</v>
      </c>
      <c r="F74" s="20" t="s">
        <v>153</v>
      </c>
      <c r="J74" s="35" t="s">
        <v>231</v>
      </c>
      <c r="K74" s="18" t="s">
        <v>232</v>
      </c>
      <c r="L74" s="22">
        <f>VLOOKUP(C74,[1]Sheet1!$A$1:$K$85,11,0)</f>
        <v>1</v>
      </c>
      <c r="M74" s="22">
        <f>VLOOKUP(C74,[1]Sheet1!$A$1:$K$85,3,0)</f>
        <v>4</v>
      </c>
      <c r="N74" s="22">
        <f>VLOOKUP(C74,[1]Sheet1!$A$1:$AH$85,34,0)</f>
        <v>0</v>
      </c>
      <c r="O74" s="22" t="str">
        <f>MID(VLOOKUP(C74,[1]Sheet1!$A$1:$AH$85,12,0),2,1)</f>
        <v>1</v>
      </c>
      <c r="P74" s="22" t="str">
        <f>MID(VLOOKUP(C74,[1]Sheet1!$A$1:$AH$85,12,0),4,1)</f>
        <v>7</v>
      </c>
      <c r="Q74" s="22" t="str">
        <f>MID(VLOOKUP(C74,[1]Sheet1!$A$1:$AH$85,12,0),6,1)</f>
        <v/>
      </c>
      <c r="R74" s="22" t="str">
        <f>MID(VLOOKUP(C74,[1]Sheet1!$A$1:$AH$85,12,0),8,1)</f>
        <v/>
      </c>
      <c r="T74" s="23" t="s">
        <v>233</v>
      </c>
    </row>
    <row r="75" spans="1:20">
      <c r="A75" s="26">
        <v>4030</v>
      </c>
      <c r="B75" s="27">
        <v>104030</v>
      </c>
      <c r="C75" s="19">
        <v>4030</v>
      </c>
      <c r="D75" s="19">
        <v>0</v>
      </c>
      <c r="E75" s="19">
        <v>53520</v>
      </c>
      <c r="F75" s="20" t="s">
        <v>175</v>
      </c>
      <c r="J75" s="35" t="s">
        <v>234</v>
      </c>
      <c r="K75" s="18" t="s">
        <v>235</v>
      </c>
      <c r="L75" s="22">
        <f>VLOOKUP(C75,[1]Sheet1!$A$1:$K$85,11,0)</f>
        <v>4</v>
      </c>
      <c r="M75" s="22">
        <f>VLOOKUP(C75,[1]Sheet1!$A$1:$K$85,3,0)</f>
        <v>4</v>
      </c>
      <c r="N75" s="22">
        <f>VLOOKUP(C75,[1]Sheet1!$A$1:$AH$85,34,0)</f>
        <v>0</v>
      </c>
      <c r="O75" s="22" t="str">
        <f>MID(VLOOKUP(C75,[1]Sheet1!$A$1:$AH$85,12,0),2,1)</f>
        <v>1</v>
      </c>
      <c r="P75" s="22" t="str">
        <f>MID(VLOOKUP(C75,[1]Sheet1!$A$1:$AH$85,12,0),4,1)</f>
        <v>2</v>
      </c>
      <c r="Q75" s="22" t="str">
        <f>MID(VLOOKUP(C75,[1]Sheet1!$A$1:$AH$85,12,0),6,1)</f>
        <v/>
      </c>
      <c r="R75" s="22" t="str">
        <f>MID(VLOOKUP(C75,[1]Sheet1!$A$1:$AH$85,12,0),8,1)</f>
        <v/>
      </c>
      <c r="T75" s="23" t="s">
        <v>193</v>
      </c>
    </row>
    <row r="76" spans="1:20">
      <c r="A76" s="26">
        <v>4031</v>
      </c>
      <c r="B76" s="27">
        <v>104031</v>
      </c>
      <c r="C76" s="19">
        <v>4031</v>
      </c>
      <c r="D76" s="19">
        <v>0</v>
      </c>
      <c r="E76" s="19">
        <v>1067266</v>
      </c>
      <c r="F76" s="20" t="s">
        <v>165</v>
      </c>
      <c r="J76" s="35" t="s">
        <v>236</v>
      </c>
      <c r="K76" s="18" t="s">
        <v>237</v>
      </c>
      <c r="L76" s="22">
        <f>VLOOKUP(C76,[1]Sheet1!$A$1:$K$85,11,0)</f>
        <v>1</v>
      </c>
      <c r="M76" s="22">
        <f>VLOOKUP(C76,[1]Sheet1!$A$1:$K$85,3,0)</f>
        <v>4</v>
      </c>
      <c r="N76" s="22">
        <f>VLOOKUP(C76,[1]Sheet1!$A$1:$AH$85,34,0)</f>
        <v>0</v>
      </c>
      <c r="O76" s="22" t="str">
        <f>MID(VLOOKUP(C76,[1]Sheet1!$A$1:$AH$85,12,0),2,1)</f>
        <v>1</v>
      </c>
      <c r="P76" s="22" t="str">
        <f>MID(VLOOKUP(C76,[1]Sheet1!$A$1:$AH$85,12,0),4,1)</f>
        <v>7</v>
      </c>
      <c r="Q76" s="22" t="str">
        <f>MID(VLOOKUP(C76,[1]Sheet1!$A$1:$AH$85,12,0),6,1)</f>
        <v/>
      </c>
      <c r="R76" s="22" t="str">
        <f>MID(VLOOKUP(C76,[1]Sheet1!$A$1:$AH$85,12,0),8,1)</f>
        <v/>
      </c>
      <c r="T76" s="23" t="s">
        <v>238</v>
      </c>
    </row>
    <row r="77" spans="1:20">
      <c r="A77" s="26">
        <v>4032</v>
      </c>
      <c r="B77" s="27">
        <v>104032</v>
      </c>
      <c r="C77" s="19">
        <v>4032</v>
      </c>
      <c r="D77" s="19">
        <v>0</v>
      </c>
      <c r="E77" s="19">
        <v>395524</v>
      </c>
      <c r="F77" s="20" t="s">
        <v>165</v>
      </c>
      <c r="J77" s="35" t="s">
        <v>239</v>
      </c>
      <c r="K77" s="18" t="s">
        <v>240</v>
      </c>
      <c r="L77" s="22">
        <f>VLOOKUP(C77,[1]Sheet1!$A$1:$K$85,11,0)</f>
        <v>2</v>
      </c>
      <c r="M77" s="22">
        <f>VLOOKUP(C77,[1]Sheet1!$A$1:$K$85,3,0)</f>
        <v>4</v>
      </c>
      <c r="N77" s="22">
        <f>VLOOKUP(C77,[1]Sheet1!$A$1:$AH$85,34,0)</f>
        <v>0</v>
      </c>
      <c r="O77" s="22" t="str">
        <f>MID(VLOOKUP(C77,[1]Sheet1!$A$1:$AH$85,12,0),2,1)</f>
        <v>4</v>
      </c>
      <c r="P77" s="22" t="str">
        <f>MID(VLOOKUP(C77,[1]Sheet1!$A$1:$AH$85,12,0),4,1)</f>
        <v>5</v>
      </c>
      <c r="Q77" s="22" t="str">
        <f>MID(VLOOKUP(C77,[1]Sheet1!$A$1:$AH$85,12,0),6,1)</f>
        <v/>
      </c>
      <c r="R77" s="22" t="str">
        <f>MID(VLOOKUP(C77,[1]Sheet1!$A$1:$AH$85,12,0),8,1)</f>
        <v/>
      </c>
      <c r="T77" s="23" t="s">
        <v>241</v>
      </c>
    </row>
    <row r="78" spans="1:20">
      <c r="A78" s="26">
        <v>4033</v>
      </c>
      <c r="B78" s="27">
        <v>104033</v>
      </c>
      <c r="C78" s="19">
        <v>4033</v>
      </c>
      <c r="D78" s="19">
        <v>0</v>
      </c>
      <c r="E78" s="19">
        <v>1085704</v>
      </c>
      <c r="F78" s="20" t="s">
        <v>175</v>
      </c>
      <c r="J78" s="35" t="s">
        <v>242</v>
      </c>
      <c r="K78" s="18" t="s">
        <v>243</v>
      </c>
      <c r="L78" s="22">
        <f>VLOOKUP(C78,[1]Sheet1!$A$1:$K$85,11,0)</f>
        <v>3</v>
      </c>
      <c r="M78" s="22">
        <f>VLOOKUP(C78,[1]Sheet1!$A$1:$K$85,3,0)</f>
        <v>4</v>
      </c>
      <c r="N78" s="22">
        <f>VLOOKUP(C78,[1]Sheet1!$A$1:$AH$85,34,0)</f>
        <v>0</v>
      </c>
      <c r="O78" s="22" t="str">
        <f>MID(VLOOKUP(C78,[1]Sheet1!$A$1:$AH$85,12,0),2,1)</f>
        <v>2</v>
      </c>
      <c r="P78" s="22" t="str">
        <f>MID(VLOOKUP(C78,[1]Sheet1!$A$1:$AH$85,12,0),4,1)</f>
        <v>7</v>
      </c>
      <c r="Q78" s="22" t="str">
        <f>MID(VLOOKUP(C78,[1]Sheet1!$A$1:$AH$85,12,0),6,1)</f>
        <v/>
      </c>
      <c r="R78" s="22" t="str">
        <f>MID(VLOOKUP(C78,[1]Sheet1!$A$1:$AH$85,12,0),8,1)</f>
        <v/>
      </c>
      <c r="T78" s="23" t="s">
        <v>188</v>
      </c>
    </row>
    <row r="79" spans="1:20">
      <c r="A79" s="26">
        <v>4034</v>
      </c>
      <c r="B79" s="27">
        <v>104034</v>
      </c>
      <c r="C79" s="19">
        <v>4034</v>
      </c>
      <c r="D79" s="19">
        <v>0</v>
      </c>
      <c r="E79" s="19">
        <v>1085700</v>
      </c>
      <c r="F79" s="20" t="s">
        <v>175</v>
      </c>
      <c r="J79" s="35" t="s">
        <v>244</v>
      </c>
      <c r="K79" s="18" t="s">
        <v>245</v>
      </c>
      <c r="L79" s="22">
        <f>VLOOKUP(C79,[1]Sheet1!$A$1:$K$85,11,0)</f>
        <v>2</v>
      </c>
      <c r="M79" s="22">
        <f>VLOOKUP(C79,[1]Sheet1!$A$1:$K$85,3,0)</f>
        <v>4</v>
      </c>
      <c r="N79" s="22">
        <f>VLOOKUP(C79,[1]Sheet1!$A$1:$AH$85,34,0)</f>
        <v>0</v>
      </c>
      <c r="O79" s="22" t="str">
        <f>MID(VLOOKUP(C79,[1]Sheet1!$A$1:$AH$85,12,0),2,1)</f>
        <v>2</v>
      </c>
      <c r="P79" s="22" t="str">
        <f>MID(VLOOKUP(C79,[1]Sheet1!$A$1:$AH$85,12,0),4,1)</f>
        <v>7</v>
      </c>
      <c r="Q79" s="22" t="str">
        <f>MID(VLOOKUP(C79,[1]Sheet1!$A$1:$AH$85,12,0),6,1)</f>
        <v/>
      </c>
      <c r="R79" s="22" t="str">
        <f>MID(VLOOKUP(C79,[1]Sheet1!$A$1:$AH$85,12,0),8,1)</f>
        <v/>
      </c>
      <c r="T79" s="23" t="s">
        <v>178</v>
      </c>
    </row>
    <row r="80" spans="1:20">
      <c r="A80" s="26">
        <v>4035</v>
      </c>
      <c r="B80" s="27">
        <v>104035</v>
      </c>
      <c r="C80" s="19">
        <v>4035</v>
      </c>
      <c r="D80" s="19">
        <v>0</v>
      </c>
      <c r="E80" s="19">
        <v>106754</v>
      </c>
      <c r="F80" s="20" t="s">
        <v>225</v>
      </c>
      <c r="J80" s="35" t="s">
        <v>246</v>
      </c>
      <c r="K80" s="18" t="s">
        <v>247</v>
      </c>
      <c r="L80" s="22">
        <f>VLOOKUP(C80,[1]Sheet1!$A$1:$K$85,11,0)</f>
        <v>1</v>
      </c>
      <c r="M80" s="22">
        <f>VLOOKUP(C80,[1]Sheet1!$A$1:$K$85,3,0)</f>
        <v>4</v>
      </c>
      <c r="N80" s="22">
        <f>VLOOKUP(C80,[1]Sheet1!$A$1:$AH$85,34,0)</f>
        <v>0</v>
      </c>
      <c r="O80" s="22" t="str">
        <f>MID(VLOOKUP(C80,[1]Sheet1!$A$1:$AH$85,12,0),2,1)</f>
        <v>2</v>
      </c>
      <c r="P80" s="22" t="str">
        <f>MID(VLOOKUP(C80,[1]Sheet1!$A$1:$AH$85,12,0),4,1)</f>
        <v>3</v>
      </c>
      <c r="Q80" s="22" t="str">
        <f>MID(VLOOKUP(C80,[1]Sheet1!$A$1:$AH$85,12,0),6,1)</f>
        <v/>
      </c>
      <c r="R80" s="22" t="str">
        <f>MID(VLOOKUP(C80,[1]Sheet1!$A$1:$AH$85,12,0),8,1)</f>
        <v/>
      </c>
      <c r="T80" s="23" t="s">
        <v>248</v>
      </c>
    </row>
    <row r="81" spans="1:20">
      <c r="A81" s="26">
        <v>4036</v>
      </c>
      <c r="B81" s="27">
        <v>104036</v>
      </c>
      <c r="C81" s="19">
        <v>4036</v>
      </c>
      <c r="D81" s="19">
        <v>0</v>
      </c>
      <c r="E81" s="19">
        <v>1115408</v>
      </c>
      <c r="F81" s="20" t="s">
        <v>153</v>
      </c>
      <c r="J81" s="35" t="s">
        <v>249</v>
      </c>
      <c r="K81" s="18" t="s">
        <v>250</v>
      </c>
      <c r="L81" s="22">
        <f>VLOOKUP(C81,[1]Sheet1!$A$1:$K$85,11,0)</f>
        <v>4</v>
      </c>
      <c r="M81" s="22">
        <f>VLOOKUP(C81,[1]Sheet1!$A$1:$K$85,3,0)</f>
        <v>4</v>
      </c>
      <c r="N81" s="22">
        <f>VLOOKUP(C81,[1]Sheet1!$A$1:$AH$85,34,0)</f>
        <v>0</v>
      </c>
      <c r="O81" s="22" t="str">
        <f>MID(VLOOKUP(C81,[1]Sheet1!$A$1:$AH$85,12,0),2,1)</f>
        <v>3</v>
      </c>
      <c r="P81" s="22" t="str">
        <f>MID(VLOOKUP(C81,[1]Sheet1!$A$1:$AH$85,12,0),4,1)</f>
        <v>7</v>
      </c>
      <c r="Q81" s="22" t="str">
        <f>MID(VLOOKUP(C81,[1]Sheet1!$A$1:$AH$85,12,0),6,1)</f>
        <v/>
      </c>
      <c r="R81" s="22" t="str">
        <f>MID(VLOOKUP(C81,[1]Sheet1!$A$1:$AH$85,12,0),8,1)</f>
        <v/>
      </c>
      <c r="T81" s="23" t="s">
        <v>230</v>
      </c>
    </row>
    <row r="82" spans="1:20">
      <c r="A82" s="26">
        <v>4037</v>
      </c>
      <c r="B82" s="27">
        <v>104037</v>
      </c>
      <c r="C82" s="19">
        <v>4037</v>
      </c>
      <c r="D82" s="19">
        <v>0</v>
      </c>
      <c r="E82" s="19">
        <v>395522</v>
      </c>
      <c r="F82" s="20" t="s">
        <v>165</v>
      </c>
      <c r="J82" s="35" t="s">
        <v>251</v>
      </c>
      <c r="K82" s="18" t="s">
        <v>252</v>
      </c>
      <c r="L82" s="22">
        <f>VLOOKUP(C82,[1]Sheet1!$A$1:$K$85,11,0)</f>
        <v>1</v>
      </c>
      <c r="M82" s="22">
        <f>VLOOKUP(C82,[1]Sheet1!$A$1:$K$85,3,0)</f>
        <v>4</v>
      </c>
      <c r="N82" s="22">
        <f>VLOOKUP(C82,[1]Sheet1!$A$1:$AH$85,34,0)</f>
        <v>0</v>
      </c>
      <c r="O82" s="22" t="str">
        <f>MID(VLOOKUP(C82,[1]Sheet1!$A$1:$AH$85,12,0),2,1)</f>
        <v>4</v>
      </c>
      <c r="P82" s="22" t="str">
        <f>MID(VLOOKUP(C82,[1]Sheet1!$A$1:$AH$85,12,0),4,1)</f>
        <v>5</v>
      </c>
      <c r="Q82" s="22" t="str">
        <f>MID(VLOOKUP(C82,[1]Sheet1!$A$1:$AH$85,12,0),6,1)</f>
        <v/>
      </c>
      <c r="R82" s="22" t="str">
        <f>MID(VLOOKUP(C82,[1]Sheet1!$A$1:$AH$85,12,0),8,1)</f>
        <v/>
      </c>
      <c r="T82" s="23" t="s">
        <v>238</v>
      </c>
    </row>
    <row r="83" spans="1:20">
      <c r="A83" s="26">
        <v>4038</v>
      </c>
      <c r="B83" s="27">
        <v>104038</v>
      </c>
      <c r="C83" s="19">
        <v>4038</v>
      </c>
      <c r="D83" s="19">
        <v>0</v>
      </c>
      <c r="E83" s="19">
        <v>49924</v>
      </c>
      <c r="F83" s="20" t="s">
        <v>218</v>
      </c>
      <c r="J83" s="35" t="s">
        <v>253</v>
      </c>
      <c r="K83" s="18" t="s">
        <v>254</v>
      </c>
      <c r="L83" s="22">
        <f>VLOOKUP(C83,[1]Sheet1!$A$1:$K$85,11,0)</f>
        <v>2</v>
      </c>
      <c r="M83" s="22">
        <f>VLOOKUP(C83,[1]Sheet1!$A$1:$K$85,3,0)</f>
        <v>4</v>
      </c>
      <c r="N83" s="22">
        <f>VLOOKUP(C83,[1]Sheet1!$A$1:$AH$85,34,0)</f>
        <v>0</v>
      </c>
      <c r="O83" s="22" t="str">
        <f>MID(VLOOKUP(C83,[1]Sheet1!$A$1:$AH$85,12,0),2,1)</f>
        <v>1</v>
      </c>
      <c r="P83" s="22" t="str">
        <f>MID(VLOOKUP(C83,[1]Sheet1!$A$1:$AH$85,12,0),4,1)</f>
        <v>2</v>
      </c>
      <c r="Q83" s="22" t="str">
        <f>MID(VLOOKUP(C83,[1]Sheet1!$A$1:$AH$85,12,0),6,1)</f>
        <v/>
      </c>
      <c r="R83" s="22" t="str">
        <f>MID(VLOOKUP(C83,[1]Sheet1!$A$1:$AH$85,12,0),8,1)</f>
        <v/>
      </c>
      <c r="T83" s="23" t="s">
        <v>255</v>
      </c>
    </row>
    <row r="84" spans="1:20">
      <c r="A84" s="26">
        <v>4039</v>
      </c>
      <c r="B84" s="27">
        <v>104039</v>
      </c>
      <c r="C84" s="19">
        <v>4039</v>
      </c>
      <c r="D84" s="19">
        <v>0</v>
      </c>
      <c r="E84" s="19">
        <v>395522</v>
      </c>
      <c r="F84" s="20" t="s">
        <v>165</v>
      </c>
      <c r="J84" s="35" t="s">
        <v>256</v>
      </c>
      <c r="K84" s="18" t="s">
        <v>252</v>
      </c>
      <c r="L84" s="22">
        <f>VLOOKUP(C84,[1]Sheet1!$A$1:$K$85,11,0)</f>
        <v>1</v>
      </c>
      <c r="M84" s="22">
        <f>VLOOKUP(C84,[1]Sheet1!$A$1:$K$85,3,0)</f>
        <v>4</v>
      </c>
      <c r="N84" s="22">
        <f>VLOOKUP(C84,[1]Sheet1!$A$1:$AH$85,34,0)</f>
        <v>0</v>
      </c>
      <c r="O84" s="22" t="str">
        <f>MID(VLOOKUP(C84,[1]Sheet1!$A$1:$AH$85,12,0),2,1)</f>
        <v>4</v>
      </c>
      <c r="P84" s="22" t="str">
        <f>MID(VLOOKUP(C84,[1]Sheet1!$A$1:$AH$85,12,0),4,1)</f>
        <v>5</v>
      </c>
      <c r="Q84" s="22" t="str">
        <f>MID(VLOOKUP(C84,[1]Sheet1!$A$1:$AH$85,12,0),6,1)</f>
        <v/>
      </c>
      <c r="R84" s="22" t="str">
        <f>MID(VLOOKUP(C84,[1]Sheet1!$A$1:$AH$85,12,0),8,1)</f>
        <v/>
      </c>
      <c r="T84" s="23" t="s">
        <v>238</v>
      </c>
    </row>
    <row r="85" spans="1:20">
      <c r="A85" s="26">
        <v>4040</v>
      </c>
      <c r="B85" s="27">
        <v>104040</v>
      </c>
      <c r="C85" s="19">
        <v>4040</v>
      </c>
      <c r="D85" s="19">
        <v>0</v>
      </c>
      <c r="E85" s="19">
        <v>99592</v>
      </c>
      <c r="F85" s="20" t="s">
        <v>153</v>
      </c>
      <c r="J85" s="35" t="s">
        <v>257</v>
      </c>
      <c r="K85" s="18" t="s">
        <v>258</v>
      </c>
      <c r="L85" s="22">
        <f>VLOOKUP(C85,[1]Sheet1!$A$1:$K$85,11,0)</f>
        <v>3</v>
      </c>
      <c r="M85" s="22">
        <f>VLOOKUP(C85,[1]Sheet1!$A$1:$K$85,3,0)</f>
        <v>4</v>
      </c>
      <c r="N85" s="22">
        <f>VLOOKUP(C85,[1]Sheet1!$A$1:$AH$85,34,0)</f>
        <v>0</v>
      </c>
      <c r="O85" s="22" t="str">
        <f>MID(VLOOKUP(C85,[1]Sheet1!$A$1:$AH$85,12,0),2,1)</f>
        <v>2</v>
      </c>
      <c r="P85" s="22" t="str">
        <f>MID(VLOOKUP(C85,[1]Sheet1!$A$1:$AH$85,12,0),4,1)</f>
        <v>3</v>
      </c>
      <c r="Q85" s="22" t="str">
        <f>MID(VLOOKUP(C85,[1]Sheet1!$A$1:$AH$85,12,0),6,1)</f>
        <v/>
      </c>
      <c r="R85" s="22" t="str">
        <f>MID(VLOOKUP(C85,[1]Sheet1!$A$1:$AH$85,12,0),8,1)</f>
        <v/>
      </c>
      <c r="T85" s="23" t="s">
        <v>259</v>
      </c>
    </row>
    <row r="86" spans="1:12">
      <c r="A86" s="26">
        <v>5001</v>
      </c>
      <c r="B86" s="27">
        <v>104040</v>
      </c>
      <c r="C86" s="19">
        <v>5001</v>
      </c>
      <c r="D86" s="19">
        <v>0</v>
      </c>
      <c r="E86" s="19">
        <v>99592</v>
      </c>
      <c r="F86" s="20" t="s">
        <v>153</v>
      </c>
      <c r="J86" s="35" t="s">
        <v>257</v>
      </c>
      <c r="L86" s="22"/>
    </row>
    <row r="87" spans="1:20">
      <c r="A87" s="26">
        <v>14028</v>
      </c>
      <c r="B87" s="27">
        <v>104028</v>
      </c>
      <c r="C87" s="19">
        <v>4028</v>
      </c>
      <c r="D87" s="19">
        <v>0</v>
      </c>
      <c r="E87" s="19">
        <v>0</v>
      </c>
      <c r="F87" s="20" t="s">
        <v>153</v>
      </c>
      <c r="G87" s="38" t="s">
        <v>260</v>
      </c>
      <c r="J87" s="35" t="s">
        <v>231</v>
      </c>
      <c r="K87" s="18" t="s">
        <v>232</v>
      </c>
      <c r="L87" s="22">
        <f>VLOOKUP(C87,[1]Sheet1!$A$1:$K$85,11,0)</f>
        <v>1</v>
      </c>
      <c r="M87" s="22">
        <f>VLOOKUP(C87,[1]Sheet1!$A$1:$K$85,3,0)</f>
        <v>4</v>
      </c>
      <c r="N87" s="22">
        <f>VLOOKUP(C87,[1]Sheet1!$A$1:$AH$85,34,0)</f>
        <v>0</v>
      </c>
      <c r="O87" s="22" t="str">
        <f>MID(VLOOKUP(C87,[1]Sheet1!$A$1:$AH$85,12,0),2,1)</f>
        <v>1</v>
      </c>
      <c r="P87" s="22" t="str">
        <f>MID(VLOOKUP(C87,[1]Sheet1!$A$1:$AH$85,12,0),4,1)</f>
        <v>7</v>
      </c>
      <c r="Q87" s="22" t="str">
        <f>MID(VLOOKUP(C87,[1]Sheet1!$A$1:$AH$85,12,0),6,1)</f>
        <v/>
      </c>
      <c r="R87" s="22" t="str">
        <f>MID(VLOOKUP(C87,[1]Sheet1!$A$1:$AH$85,12,0),8,1)</f>
        <v/>
      </c>
      <c r="T87" s="23" t="s">
        <v>233</v>
      </c>
    </row>
    <row r="88" spans="1:12">
      <c r="A88" s="26">
        <v>13000</v>
      </c>
      <c r="B88" s="27">
        <v>103000</v>
      </c>
      <c r="C88" s="19">
        <v>3000</v>
      </c>
      <c r="D88" s="19">
        <v>0</v>
      </c>
      <c r="E88" s="19">
        <v>0</v>
      </c>
      <c r="F88" s="20" t="s">
        <v>84</v>
      </c>
      <c r="G88" s="39" t="s">
        <v>261</v>
      </c>
      <c r="J88" s="26" t="s">
        <v>128</v>
      </c>
      <c r="L88" s="22"/>
    </row>
    <row r="89" spans="1:12">
      <c r="A89" s="26">
        <v>10003</v>
      </c>
      <c r="B89" s="27">
        <v>103000</v>
      </c>
      <c r="C89" s="19">
        <v>3000</v>
      </c>
      <c r="D89" s="19">
        <v>0</v>
      </c>
      <c r="E89" s="19">
        <v>0</v>
      </c>
      <c r="F89" s="20" t="s">
        <v>84</v>
      </c>
      <c r="G89" s="39"/>
      <c r="J89" s="26" t="s">
        <v>128</v>
      </c>
      <c r="L89" s="22"/>
    </row>
    <row r="90" spans="1:12">
      <c r="A90" s="26">
        <v>1004</v>
      </c>
      <c r="B90" s="27">
        <v>101004</v>
      </c>
      <c r="C90" s="19">
        <v>1004</v>
      </c>
      <c r="D90" s="19">
        <v>0</v>
      </c>
      <c r="E90" s="28">
        <v>0</v>
      </c>
      <c r="F90" s="20" t="s">
        <v>262</v>
      </c>
      <c r="J90" s="35"/>
      <c r="L90" s="22"/>
    </row>
    <row r="91" spans="1:20">
      <c r="A91" s="40">
        <v>101000</v>
      </c>
      <c r="B91" s="27">
        <v>101000</v>
      </c>
      <c r="C91" s="19">
        <v>1000</v>
      </c>
      <c r="D91" s="19">
        <v>1</v>
      </c>
      <c r="E91" s="28">
        <v>24624</v>
      </c>
      <c r="F91" s="20" t="s">
        <v>31</v>
      </c>
      <c r="J91" s="19" t="s">
        <v>32</v>
      </c>
      <c r="K91" s="18" t="s">
        <v>33</v>
      </c>
      <c r="L91" s="22">
        <f>VLOOKUP(C91,[1]Sheet1!$A$1:$K$85,11,0)</f>
        <v>4</v>
      </c>
      <c r="M91" s="22">
        <f>VLOOKUP(C91,[1]Sheet1!$A$1:$K$85,3,0)</f>
        <v>1</v>
      </c>
      <c r="N91" s="22">
        <f>VLOOKUP(C91,[1]Sheet1!$A$1:$AH$85,34,0)</f>
        <v>0</v>
      </c>
      <c r="O91" s="22" t="str">
        <f>MID(VLOOKUP(C91,[1]Sheet1!$A$1:$AH$85,12,0),2,1)</f>
        <v>1</v>
      </c>
      <c r="P91" s="22" t="str">
        <f>MID(VLOOKUP(C91,[1]Sheet1!$A$1:$AH$85,12,0),4,1)</f>
        <v/>
      </c>
      <c r="Q91" s="22" t="str">
        <f>MID(VLOOKUP(C91,[1]Sheet1!$A$1:$AH$85,12,0),6,1)</f>
        <v/>
      </c>
      <c r="R91" s="22" t="str">
        <f>MID(VLOOKUP(C91,[1]Sheet1!$A$1:$AH$85,12,0),8,1)</f>
        <v/>
      </c>
      <c r="T91" s="23" t="s">
        <v>34</v>
      </c>
    </row>
    <row r="92" spans="1:20">
      <c r="A92" s="40">
        <v>101001</v>
      </c>
      <c r="B92" s="27">
        <v>101001</v>
      </c>
      <c r="C92" s="19">
        <v>1001</v>
      </c>
      <c r="D92" s="19">
        <v>1</v>
      </c>
      <c r="E92" s="28">
        <v>33832</v>
      </c>
      <c r="F92" s="20" t="s">
        <v>35</v>
      </c>
      <c r="J92" s="19" t="s">
        <v>36</v>
      </c>
      <c r="K92" s="34" t="s">
        <v>37</v>
      </c>
      <c r="L92" s="22">
        <f>VLOOKUP(C92,[1]Sheet1!$A$1:$K$85,11,0)</f>
        <v>3</v>
      </c>
      <c r="M92" s="22">
        <f>VLOOKUP(C92,[1]Sheet1!$A$1:$K$85,3,0)</f>
        <v>1</v>
      </c>
      <c r="N92" s="22">
        <f>VLOOKUP(C92,[1]Sheet1!$A$1:$AH$85,34,0)</f>
        <v>0</v>
      </c>
      <c r="O92" s="22" t="str">
        <f>MID(VLOOKUP(C92,[1]Sheet1!$A$1:$AH$85,12,0),2,1)</f>
        <v>2</v>
      </c>
      <c r="P92" s="22" t="str">
        <f>MID(VLOOKUP(C92,[1]Sheet1!$A$1:$AH$85,12,0),4,1)</f>
        <v/>
      </c>
      <c r="Q92" s="22" t="str">
        <f>MID(VLOOKUP(C92,[1]Sheet1!$A$1:$AH$85,12,0),6,1)</f>
        <v/>
      </c>
      <c r="R92" s="22" t="str">
        <f>MID(VLOOKUP(C92,[1]Sheet1!$A$1:$AH$85,12,0),8,1)</f>
        <v/>
      </c>
      <c r="T92" s="23" t="s">
        <v>38</v>
      </c>
    </row>
    <row r="93" spans="1:20">
      <c r="A93" s="40">
        <v>101002</v>
      </c>
      <c r="B93" s="27">
        <v>101002</v>
      </c>
      <c r="C93" s="19">
        <v>1002</v>
      </c>
      <c r="D93" s="19">
        <v>1</v>
      </c>
      <c r="E93" s="29">
        <v>1065508</v>
      </c>
      <c r="F93" s="20" t="s">
        <v>39</v>
      </c>
      <c r="J93" s="19" t="s">
        <v>40</v>
      </c>
      <c r="K93" s="34" t="s">
        <v>41</v>
      </c>
      <c r="L93" s="22">
        <f>VLOOKUP(C93,[1]Sheet1!$A$1:$K$85,11,0)</f>
        <v>2</v>
      </c>
      <c r="M93" s="22">
        <f>VLOOKUP(C93,[1]Sheet1!$A$1:$K$85,3,0)</f>
        <v>1</v>
      </c>
      <c r="N93" s="22">
        <f>VLOOKUP(C93,[1]Sheet1!$A$1:$AH$85,34,0)</f>
        <v>0</v>
      </c>
      <c r="O93" s="22" t="str">
        <f>MID(VLOOKUP(C93,[1]Sheet1!$A$1:$AH$85,12,0),2,1)</f>
        <v>1</v>
      </c>
      <c r="P93" s="22" t="str">
        <f>MID(VLOOKUP(C93,[1]Sheet1!$A$1:$AH$85,12,0),4,1)</f>
        <v>7</v>
      </c>
      <c r="Q93" s="22" t="str">
        <f>MID(VLOOKUP(C93,[1]Sheet1!$A$1:$AH$85,12,0),6,1)</f>
        <v/>
      </c>
      <c r="R93" s="22" t="str">
        <f>MID(VLOOKUP(C93,[1]Sheet1!$A$1:$AH$85,12,0),8,1)</f>
        <v/>
      </c>
      <c r="T93" s="23" t="s">
        <v>42</v>
      </c>
    </row>
    <row r="94" spans="1:20">
      <c r="A94" s="40">
        <v>101003</v>
      </c>
      <c r="B94" s="27">
        <v>101003</v>
      </c>
      <c r="C94" s="19">
        <v>1003</v>
      </c>
      <c r="D94" s="19">
        <v>1</v>
      </c>
      <c r="E94" s="28">
        <v>16936</v>
      </c>
      <c r="F94" s="20" t="s">
        <v>39</v>
      </c>
      <c r="J94" s="19" t="s">
        <v>43</v>
      </c>
      <c r="K94" s="34" t="s">
        <v>44</v>
      </c>
      <c r="L94" s="22">
        <f>VLOOKUP(C94,[1]Sheet1!$A$1:$K$85,11,0)</f>
        <v>3</v>
      </c>
      <c r="M94" s="22">
        <f>VLOOKUP(C94,[1]Sheet1!$A$1:$K$85,3,0)</f>
        <v>1</v>
      </c>
      <c r="N94" s="22">
        <f>VLOOKUP(C94,[1]Sheet1!$A$1:$AH$85,34,0)</f>
        <v>0</v>
      </c>
      <c r="O94" s="22" t="str">
        <f>MID(VLOOKUP(C94,[1]Sheet1!$A$1:$AH$85,12,0),2,1)</f>
        <v>1</v>
      </c>
      <c r="P94" s="22" t="str">
        <f>MID(VLOOKUP(C94,[1]Sheet1!$A$1:$AH$85,12,0),4,1)</f>
        <v/>
      </c>
      <c r="Q94" s="22" t="str">
        <f>MID(VLOOKUP(C94,[1]Sheet1!$A$1:$AH$85,12,0),6,1)</f>
        <v/>
      </c>
      <c r="R94" s="22" t="str">
        <f>MID(VLOOKUP(C94,[1]Sheet1!$A$1:$AH$85,12,0),8,1)</f>
        <v/>
      </c>
      <c r="T94" s="23" t="s">
        <v>45</v>
      </c>
    </row>
    <row r="95" spans="1:20">
      <c r="A95" s="40">
        <v>101005</v>
      </c>
      <c r="B95" s="27">
        <v>101005</v>
      </c>
      <c r="C95" s="19">
        <v>1005</v>
      </c>
      <c r="D95" s="19">
        <v>1</v>
      </c>
      <c r="E95" s="28">
        <v>528420</v>
      </c>
      <c r="F95" s="20" t="s">
        <v>31</v>
      </c>
      <c r="J95" s="19" t="s">
        <v>46</v>
      </c>
      <c r="K95" s="18" t="s">
        <v>47</v>
      </c>
      <c r="L95" s="22">
        <f>VLOOKUP(C95,[1]Sheet1!$A$1:$K$85,11,0)</f>
        <v>2</v>
      </c>
      <c r="M95" s="22">
        <f>VLOOKUP(C95,[1]Sheet1!$A$1:$K$85,3,0)</f>
        <v>1</v>
      </c>
      <c r="N95" s="22">
        <f>VLOOKUP(C95,[1]Sheet1!$A$1:$AH$85,34,0)</f>
        <v>0</v>
      </c>
      <c r="O95" s="22" t="str">
        <f>MID(VLOOKUP(C95,[1]Sheet1!$A$1:$AH$85,12,0),2,1)</f>
        <v>6</v>
      </c>
      <c r="P95" s="22" t="str">
        <f>MID(VLOOKUP(C95,[1]Sheet1!$A$1:$AH$85,12,0),4,1)</f>
        <v/>
      </c>
      <c r="Q95" s="22" t="str">
        <f>MID(VLOOKUP(C95,[1]Sheet1!$A$1:$AH$85,12,0),6,1)</f>
        <v/>
      </c>
      <c r="R95" s="22" t="str">
        <f>MID(VLOOKUP(C95,[1]Sheet1!$A$1:$AH$85,12,0),8,1)</f>
        <v/>
      </c>
      <c r="T95" s="23" t="s">
        <v>48</v>
      </c>
    </row>
    <row r="96" spans="1:20">
      <c r="A96" s="40">
        <v>101006</v>
      </c>
      <c r="B96" s="27">
        <v>101006</v>
      </c>
      <c r="C96" s="19">
        <v>1006</v>
      </c>
      <c r="D96" s="19">
        <v>1</v>
      </c>
      <c r="E96" s="28">
        <v>1050658</v>
      </c>
      <c r="F96" s="20" t="s">
        <v>49</v>
      </c>
      <c r="J96" s="19" t="s">
        <v>50</v>
      </c>
      <c r="K96" s="18" t="s">
        <v>51</v>
      </c>
      <c r="L96" s="22">
        <f>VLOOKUP(C96,[1]Sheet1!$A$1:$K$85,11,0)</f>
        <v>1</v>
      </c>
      <c r="M96" s="22">
        <f>VLOOKUP(C96,[1]Sheet1!$A$1:$K$85,3,0)</f>
        <v>1</v>
      </c>
      <c r="N96" s="22">
        <f>VLOOKUP(C96,[1]Sheet1!$A$1:$AH$85,34,0)</f>
        <v>0</v>
      </c>
      <c r="O96" s="22" t="str">
        <f>MID(VLOOKUP(C96,[1]Sheet1!$A$1:$AH$85,12,0),2,1)</f>
        <v>7</v>
      </c>
      <c r="P96" s="22" t="str">
        <f>MID(VLOOKUP(C96,[1]Sheet1!$A$1:$AH$85,12,0),4,1)</f>
        <v/>
      </c>
      <c r="Q96" s="22" t="str">
        <f>MID(VLOOKUP(C96,[1]Sheet1!$A$1:$AH$85,12,0),6,1)</f>
        <v/>
      </c>
      <c r="R96" s="22" t="str">
        <f>MID(VLOOKUP(C96,[1]Sheet1!$A$1:$AH$85,12,0),8,1)</f>
        <v/>
      </c>
      <c r="T96" s="23" t="s">
        <v>52</v>
      </c>
    </row>
    <row r="97" spans="1:20">
      <c r="A97" s="40">
        <v>101007</v>
      </c>
      <c r="B97" s="27">
        <v>101007</v>
      </c>
      <c r="C97" s="19">
        <v>1007</v>
      </c>
      <c r="D97" s="19">
        <v>1</v>
      </c>
      <c r="E97" s="28">
        <v>36898</v>
      </c>
      <c r="F97" s="20" t="s">
        <v>31</v>
      </c>
      <c r="J97" s="19" t="s">
        <v>53</v>
      </c>
      <c r="K97" s="18" t="s">
        <v>54</v>
      </c>
      <c r="L97" s="22">
        <f>VLOOKUP(C97,[1]Sheet1!$A$1:$K$85,11,0)</f>
        <v>1</v>
      </c>
      <c r="M97" s="22">
        <f>VLOOKUP(C97,[1]Sheet1!$A$1:$K$85,3,0)</f>
        <v>1</v>
      </c>
      <c r="N97" s="22">
        <f>VLOOKUP(C97,[1]Sheet1!$A$1:$AH$85,34,0)</f>
        <v>0</v>
      </c>
      <c r="O97" s="22" t="str">
        <f>MID(VLOOKUP(C97,[1]Sheet1!$A$1:$AH$85,12,0),2,1)</f>
        <v>2</v>
      </c>
      <c r="P97" s="22" t="str">
        <f>MID(VLOOKUP(C97,[1]Sheet1!$A$1:$AH$85,12,0),4,1)</f>
        <v/>
      </c>
      <c r="Q97" s="22" t="str">
        <f>MID(VLOOKUP(C97,[1]Sheet1!$A$1:$AH$85,12,0),6,1)</f>
        <v/>
      </c>
      <c r="R97" s="22" t="str">
        <f>MID(VLOOKUP(C97,[1]Sheet1!$A$1:$AH$85,12,0),8,1)</f>
        <v/>
      </c>
      <c r="T97" s="23" t="s">
        <v>55</v>
      </c>
    </row>
    <row r="98" spans="1:20">
      <c r="A98" s="40">
        <v>101010</v>
      </c>
      <c r="B98" s="27">
        <v>101010</v>
      </c>
      <c r="C98" s="19">
        <v>1010</v>
      </c>
      <c r="D98" s="19">
        <v>1</v>
      </c>
      <c r="E98" s="28">
        <v>525380</v>
      </c>
      <c r="F98" s="20" t="s">
        <v>56</v>
      </c>
      <c r="J98" s="19" t="s">
        <v>57</v>
      </c>
      <c r="K98" s="34" t="s">
        <v>58</v>
      </c>
      <c r="L98" s="22">
        <f>VLOOKUP(C98,[1]Sheet1!$A$1:$K$85,11,0)</f>
        <v>2</v>
      </c>
      <c r="M98" s="22">
        <f>VLOOKUP(C98,[1]Sheet1!$A$1:$K$85,3,0)</f>
        <v>2</v>
      </c>
      <c r="N98" s="22">
        <f>VLOOKUP(C98,[1]Sheet1!$A$1:$AH$85,34,0)</f>
        <v>0</v>
      </c>
      <c r="O98" s="22" t="str">
        <f>MID(VLOOKUP(C98,[1]Sheet1!$A$1:$AH$85,12,0),2,1)</f>
        <v>6</v>
      </c>
      <c r="P98" s="22" t="str">
        <f>MID(VLOOKUP(C98,[1]Sheet1!$A$1:$AH$85,12,0),4,1)</f>
        <v/>
      </c>
      <c r="Q98" s="22" t="str">
        <f>MID(VLOOKUP(C98,[1]Sheet1!$A$1:$AH$85,12,0),6,1)</f>
        <v/>
      </c>
      <c r="R98" s="22" t="str">
        <f>MID(VLOOKUP(C98,[1]Sheet1!$A$1:$AH$85,12,0),8,1)</f>
        <v/>
      </c>
      <c r="T98" s="23" t="s">
        <v>59</v>
      </c>
    </row>
    <row r="99" spans="1:20">
      <c r="A99" s="40">
        <v>101011</v>
      </c>
      <c r="B99" s="27">
        <v>101011</v>
      </c>
      <c r="C99" s="19">
        <v>1011</v>
      </c>
      <c r="D99" s="19">
        <v>1</v>
      </c>
      <c r="E99" s="28">
        <v>132162</v>
      </c>
      <c r="F99" s="20" t="s">
        <v>56</v>
      </c>
      <c r="J99" s="19" t="s">
        <v>60</v>
      </c>
      <c r="K99" s="18" t="s">
        <v>61</v>
      </c>
      <c r="L99" s="22">
        <f>VLOOKUP(C99,[1]Sheet1!$A$1:$K$85,11,0)</f>
        <v>1</v>
      </c>
      <c r="M99" s="22">
        <f>VLOOKUP(C99,[1]Sheet1!$A$1:$K$85,3,0)</f>
        <v>2</v>
      </c>
      <c r="N99" s="22">
        <f>VLOOKUP(C99,[1]Sheet1!$A$1:$AH$85,34,0)</f>
        <v>0</v>
      </c>
      <c r="O99" s="22" t="str">
        <f>MID(VLOOKUP(C99,[1]Sheet1!$A$1:$AH$85,12,0),2,1)</f>
        <v>4</v>
      </c>
      <c r="P99" s="22" t="str">
        <f>MID(VLOOKUP(C99,[1]Sheet1!$A$1:$AH$85,12,0),4,1)</f>
        <v/>
      </c>
      <c r="Q99" s="22" t="str">
        <f>MID(VLOOKUP(C99,[1]Sheet1!$A$1:$AH$85,12,0),6,1)</f>
        <v/>
      </c>
      <c r="R99" s="22" t="str">
        <f>MID(VLOOKUP(C99,[1]Sheet1!$A$1:$AH$85,12,0),8,1)</f>
        <v/>
      </c>
      <c r="T99" s="23" t="s">
        <v>62</v>
      </c>
    </row>
    <row r="100" spans="1:20">
      <c r="A100" s="40">
        <v>101012</v>
      </c>
      <c r="B100" s="27">
        <v>101012</v>
      </c>
      <c r="C100" s="19">
        <v>1012</v>
      </c>
      <c r="D100" s="19">
        <v>1</v>
      </c>
      <c r="E100" s="19">
        <v>41028</v>
      </c>
      <c r="F100" s="20" t="s">
        <v>63</v>
      </c>
      <c r="J100" s="19" t="s">
        <v>64</v>
      </c>
      <c r="K100" s="34" t="s">
        <v>65</v>
      </c>
      <c r="L100" s="22">
        <f>VLOOKUP(C100,[1]Sheet1!$A$1:$K$85,11,0)</f>
        <v>2</v>
      </c>
      <c r="M100" s="22">
        <f>VLOOKUP(C100,[1]Sheet1!$A$1:$K$85,3,0)</f>
        <v>2</v>
      </c>
      <c r="N100" s="22">
        <f>VLOOKUP(C100,[1]Sheet1!$A$1:$AH$85,34,0)</f>
        <v>0</v>
      </c>
      <c r="O100" s="22" t="str">
        <f>MID(VLOOKUP(C100,[1]Sheet1!$A$1:$AH$85,12,0),2,1)</f>
        <v>2</v>
      </c>
      <c r="P100" s="22" t="str">
        <f>MID(VLOOKUP(C100,[1]Sheet1!$A$1:$AH$85,12,0),4,1)</f>
        <v/>
      </c>
      <c r="Q100" s="22" t="str">
        <f>MID(VLOOKUP(C100,[1]Sheet1!$A$1:$AH$85,12,0),6,1)</f>
        <v/>
      </c>
      <c r="R100" s="22" t="str">
        <f>MID(VLOOKUP(C100,[1]Sheet1!$A$1:$AH$85,12,0),8,1)</f>
        <v/>
      </c>
      <c r="T100" s="23" t="s">
        <v>66</v>
      </c>
    </row>
    <row r="101" spans="1:20">
      <c r="A101" s="40">
        <v>101013</v>
      </c>
      <c r="B101" s="27">
        <v>101013</v>
      </c>
      <c r="C101" s="19">
        <v>1013</v>
      </c>
      <c r="D101" s="19">
        <v>1</v>
      </c>
      <c r="E101" s="19">
        <v>16964</v>
      </c>
      <c r="F101" s="20" t="s">
        <v>67</v>
      </c>
      <c r="J101" s="19" t="s">
        <v>68</v>
      </c>
      <c r="K101" s="18" t="s">
        <v>69</v>
      </c>
      <c r="L101" s="22">
        <f>VLOOKUP(C101,[1]Sheet1!$A$1:$K$85,11,0)</f>
        <v>2</v>
      </c>
      <c r="M101" s="22">
        <f>VLOOKUP(C101,[1]Sheet1!$A$1:$K$85,3,0)</f>
        <v>2</v>
      </c>
      <c r="N101" s="22">
        <f>VLOOKUP(C101,[1]Sheet1!$A$1:$AH$85,34,0)</f>
        <v>0</v>
      </c>
      <c r="O101" s="22" t="str">
        <f>MID(VLOOKUP(C101,[1]Sheet1!$A$1:$AH$85,12,0),2,1)</f>
        <v>1</v>
      </c>
      <c r="P101" s="22" t="str">
        <f>MID(VLOOKUP(C101,[1]Sheet1!$A$1:$AH$85,12,0),4,1)</f>
        <v/>
      </c>
      <c r="Q101" s="22" t="str">
        <f>MID(VLOOKUP(C101,[1]Sheet1!$A$1:$AH$85,12,0),6,1)</f>
        <v/>
      </c>
      <c r="R101" s="22" t="str">
        <f>MID(VLOOKUP(C101,[1]Sheet1!$A$1:$AH$85,12,0),8,1)</f>
        <v/>
      </c>
      <c r="T101" s="23" t="s">
        <v>70</v>
      </c>
    </row>
    <row r="102" spans="1:20">
      <c r="A102" s="40">
        <v>101014</v>
      </c>
      <c r="B102" s="27">
        <v>101014</v>
      </c>
      <c r="C102" s="19">
        <v>1014</v>
      </c>
      <c r="D102" s="19">
        <v>1</v>
      </c>
      <c r="E102" s="19">
        <v>36930</v>
      </c>
      <c r="F102" s="20" t="s">
        <v>71</v>
      </c>
      <c r="J102" s="19" t="s">
        <v>72</v>
      </c>
      <c r="K102" s="18" t="s">
        <v>73</v>
      </c>
      <c r="L102" s="22">
        <f>VLOOKUP(C102,[1]Sheet1!$A$1:$K$85,11,0)</f>
        <v>1</v>
      </c>
      <c r="M102" s="22">
        <f>VLOOKUP(C102,[1]Sheet1!$A$1:$K$85,3,0)</f>
        <v>2</v>
      </c>
      <c r="N102" s="22">
        <f>VLOOKUP(C102,[1]Sheet1!$A$1:$AH$85,34,0)</f>
        <v>0</v>
      </c>
      <c r="O102" s="22" t="str">
        <f>MID(VLOOKUP(C102,[1]Sheet1!$A$1:$AH$85,12,0),2,1)</f>
        <v>2</v>
      </c>
      <c r="P102" s="22" t="str">
        <f>MID(VLOOKUP(C102,[1]Sheet1!$A$1:$AH$85,12,0),4,1)</f>
        <v/>
      </c>
      <c r="Q102" s="22" t="str">
        <f>MID(VLOOKUP(C102,[1]Sheet1!$A$1:$AH$85,12,0),6,1)</f>
        <v/>
      </c>
      <c r="R102" s="22" t="str">
        <f>MID(VLOOKUP(C102,[1]Sheet1!$A$1:$AH$85,12,0),8,1)</f>
        <v/>
      </c>
      <c r="T102" s="23" t="s">
        <v>74</v>
      </c>
    </row>
    <row r="103" spans="1:20">
      <c r="A103" s="40">
        <v>101015</v>
      </c>
      <c r="B103" s="27">
        <v>101015</v>
      </c>
      <c r="C103" s="19">
        <v>1015</v>
      </c>
      <c r="D103" s="19">
        <v>1</v>
      </c>
      <c r="E103" s="19">
        <v>36930</v>
      </c>
      <c r="F103" s="20" t="s">
        <v>71</v>
      </c>
      <c r="J103" s="19" t="s">
        <v>75</v>
      </c>
      <c r="K103" s="18" t="s">
        <v>76</v>
      </c>
      <c r="L103" s="22">
        <f>VLOOKUP(C103,[1]Sheet1!$A$1:$K$85,11,0)</f>
        <v>1</v>
      </c>
      <c r="M103" s="22">
        <f>VLOOKUP(C103,[1]Sheet1!$A$1:$K$85,3,0)</f>
        <v>2</v>
      </c>
      <c r="N103" s="22">
        <f>VLOOKUP(C103,[1]Sheet1!$A$1:$AH$85,34,0)</f>
        <v>0</v>
      </c>
      <c r="O103" s="22" t="str">
        <f>MID(VLOOKUP(C103,[1]Sheet1!$A$1:$AH$85,12,0),2,1)</f>
        <v>2</v>
      </c>
      <c r="P103" s="22" t="str">
        <f>MID(VLOOKUP(C103,[1]Sheet1!$A$1:$AH$85,12,0),4,1)</f>
        <v/>
      </c>
      <c r="Q103" s="22" t="str">
        <f>MID(VLOOKUP(C103,[1]Sheet1!$A$1:$AH$85,12,0),6,1)</f>
        <v/>
      </c>
      <c r="R103" s="22" t="str">
        <f>MID(VLOOKUP(C103,[1]Sheet1!$A$1:$AH$85,12,0),8,1)</f>
        <v/>
      </c>
      <c r="T103" s="23" t="s">
        <v>74</v>
      </c>
    </row>
    <row r="104" spans="1:20">
      <c r="A104" s="40">
        <v>101017</v>
      </c>
      <c r="B104" s="27">
        <v>101017</v>
      </c>
      <c r="C104" s="19">
        <v>1017</v>
      </c>
      <c r="D104" s="19">
        <v>1</v>
      </c>
      <c r="E104" s="19">
        <v>33840</v>
      </c>
      <c r="F104" s="20" t="s">
        <v>39</v>
      </c>
      <c r="J104" s="19" t="s">
        <v>77</v>
      </c>
      <c r="K104" s="18" t="s">
        <v>263</v>
      </c>
      <c r="L104" s="22">
        <f>VLOOKUP(C104,[1]Sheet1!$A$1:$K$85,11,0)</f>
        <v>4</v>
      </c>
      <c r="M104" s="22">
        <f>VLOOKUP(C104,[1]Sheet1!$A$1:$K$85,3,0)</f>
        <v>1</v>
      </c>
      <c r="N104" s="22">
        <f>VLOOKUP(C104,[1]Sheet1!$A$1:$AH$85,34,0)</f>
        <v>0</v>
      </c>
      <c r="O104" s="22" t="str">
        <f>MID(VLOOKUP(C104,[1]Sheet1!$A$1:$AH$85,12,0),2,1)</f>
        <v>2</v>
      </c>
      <c r="P104" s="22" t="str">
        <f>MID(VLOOKUP(C104,[1]Sheet1!$A$1:$AH$85,12,0),4,1)</f>
        <v/>
      </c>
      <c r="Q104" s="22" t="str">
        <f>MID(VLOOKUP(C104,[1]Sheet1!$A$1:$AH$85,12,0),6,1)</f>
        <v/>
      </c>
      <c r="R104" s="22" t="str">
        <f>MID(VLOOKUP(C104,[1]Sheet1!$A$1:$AH$85,12,0),8,1)</f>
        <v/>
      </c>
      <c r="T104" s="23" t="s">
        <v>79</v>
      </c>
    </row>
    <row r="105" spans="1:20">
      <c r="A105" s="40">
        <v>102000</v>
      </c>
      <c r="B105" s="27">
        <v>102000</v>
      </c>
      <c r="C105" s="19">
        <v>2000</v>
      </c>
      <c r="D105" s="19">
        <v>1</v>
      </c>
      <c r="E105" s="19">
        <v>36994</v>
      </c>
      <c r="F105" s="20" t="s">
        <v>80</v>
      </c>
      <c r="J105" s="35" t="s">
        <v>81</v>
      </c>
      <c r="K105" s="18" t="s">
        <v>82</v>
      </c>
      <c r="L105" s="22">
        <f>VLOOKUP(C105,[1]Sheet1!$A$1:$K$85,11,0)</f>
        <v>1</v>
      </c>
      <c r="M105" s="22">
        <f>VLOOKUP(C105,[1]Sheet1!$A$1:$K$85,3,0)</f>
        <v>3</v>
      </c>
      <c r="N105" s="22">
        <f>VLOOKUP(C105,[1]Sheet1!$A$1:$AH$85,34,0)</f>
        <v>0</v>
      </c>
      <c r="O105" s="22" t="str">
        <f>MID(VLOOKUP(C105,[1]Sheet1!$A$1:$AH$85,12,0),2,1)</f>
        <v>2</v>
      </c>
      <c r="P105" s="22" t="str">
        <f>MID(VLOOKUP(C105,[1]Sheet1!$A$1:$AH$85,12,0),4,1)</f>
        <v/>
      </c>
      <c r="Q105" s="22" t="str">
        <f>MID(VLOOKUP(C105,[1]Sheet1!$A$1:$AH$85,12,0),6,1)</f>
        <v/>
      </c>
      <c r="R105" s="22" t="str">
        <f>MID(VLOOKUP(C105,[1]Sheet1!$A$1:$AH$85,12,0),8,1)</f>
        <v/>
      </c>
      <c r="T105" s="23" t="s">
        <v>83</v>
      </c>
    </row>
    <row r="106" spans="1:20">
      <c r="A106" s="40">
        <v>102003</v>
      </c>
      <c r="B106" s="27">
        <v>102003</v>
      </c>
      <c r="C106" s="19">
        <v>2003</v>
      </c>
      <c r="D106" s="19">
        <v>1</v>
      </c>
      <c r="E106" s="19">
        <v>66690</v>
      </c>
      <c r="F106" s="20" t="s">
        <v>84</v>
      </c>
      <c r="J106" s="35" t="s">
        <v>85</v>
      </c>
      <c r="K106" s="18" t="s">
        <v>86</v>
      </c>
      <c r="L106" s="22">
        <f>VLOOKUP(C106,[1]Sheet1!$A$1:$K$85,11,0)</f>
        <v>1</v>
      </c>
      <c r="M106" s="22">
        <f>VLOOKUP(C106,[1]Sheet1!$A$1:$K$85,3,0)</f>
        <v>3</v>
      </c>
      <c r="N106" s="22">
        <f>VLOOKUP(C106,[1]Sheet1!$A$1:$AH$85,34,0)</f>
        <v>0</v>
      </c>
      <c r="O106" s="22" t="str">
        <f>MID(VLOOKUP(C106,[1]Sheet1!$A$1:$AH$85,12,0),2,1)</f>
        <v>3</v>
      </c>
      <c r="P106" s="22" t="str">
        <f>MID(VLOOKUP(C106,[1]Sheet1!$A$1:$AH$85,12,0),4,1)</f>
        <v/>
      </c>
      <c r="Q106" s="22" t="str">
        <f>MID(VLOOKUP(C106,[1]Sheet1!$A$1:$AH$85,12,0),6,1)</f>
        <v/>
      </c>
      <c r="R106" s="22" t="str">
        <f>MID(VLOOKUP(C106,[1]Sheet1!$A$1:$AH$85,12,0),8,1)</f>
        <v/>
      </c>
      <c r="T106" s="23" t="s">
        <v>87</v>
      </c>
    </row>
    <row r="107" spans="1:20">
      <c r="A107" s="40">
        <v>102004</v>
      </c>
      <c r="B107" s="27">
        <v>102004</v>
      </c>
      <c r="C107" s="19">
        <v>2004</v>
      </c>
      <c r="D107" s="19">
        <v>1</v>
      </c>
      <c r="E107" s="19">
        <v>559236</v>
      </c>
      <c r="F107" s="20" t="s">
        <v>88</v>
      </c>
      <c r="J107" s="35" t="s">
        <v>89</v>
      </c>
      <c r="K107" s="18" t="s">
        <v>90</v>
      </c>
      <c r="L107" s="22">
        <f>VLOOKUP(C107,[1]Sheet1!$A$1:$K$85,11,0)</f>
        <v>2</v>
      </c>
      <c r="M107" s="22">
        <f>VLOOKUP(C107,[1]Sheet1!$A$1:$K$85,3,0)</f>
        <v>3</v>
      </c>
      <c r="N107" s="22">
        <f>VLOOKUP(C107,[1]Sheet1!$A$1:$AH$85,34,0)</f>
        <v>0</v>
      </c>
      <c r="O107" s="22" t="str">
        <f>MID(VLOOKUP(C107,[1]Sheet1!$A$1:$AH$85,12,0),2,1)</f>
        <v>2</v>
      </c>
      <c r="P107" s="22" t="str">
        <f>MID(VLOOKUP(C107,[1]Sheet1!$A$1:$AH$85,12,0),4,1)</f>
        <v>6</v>
      </c>
      <c r="Q107" s="22" t="str">
        <f>MID(VLOOKUP(C107,[1]Sheet1!$A$1:$AH$85,12,0),6,1)</f>
        <v/>
      </c>
      <c r="R107" s="22" t="str">
        <f>MID(VLOOKUP(C107,[1]Sheet1!$A$1:$AH$85,12,0),8,1)</f>
        <v/>
      </c>
      <c r="T107" s="23" t="s">
        <v>91</v>
      </c>
    </row>
    <row r="108" spans="1:20">
      <c r="A108" s="40">
        <v>102005</v>
      </c>
      <c r="B108" s="27">
        <v>102005</v>
      </c>
      <c r="C108" s="19">
        <v>2005</v>
      </c>
      <c r="D108" s="19">
        <v>1</v>
      </c>
      <c r="E108" s="19">
        <v>1049732</v>
      </c>
      <c r="F108" s="20" t="s">
        <v>84</v>
      </c>
      <c r="J108" s="35" t="s">
        <v>92</v>
      </c>
      <c r="K108" s="18" t="s">
        <v>93</v>
      </c>
      <c r="L108" s="22">
        <f>VLOOKUP(C108,[1]Sheet1!$A$1:$K$85,11,0)</f>
        <v>2</v>
      </c>
      <c r="M108" s="22">
        <f>VLOOKUP(C108,[1]Sheet1!$A$1:$K$85,3,0)</f>
        <v>3</v>
      </c>
      <c r="N108" s="22">
        <f>VLOOKUP(C108,[1]Sheet1!$A$1:$AH$85,34,0)</f>
        <v>0</v>
      </c>
      <c r="O108" s="22" t="str">
        <f>MID(VLOOKUP(C108,[1]Sheet1!$A$1:$AH$85,12,0),2,1)</f>
        <v>7</v>
      </c>
      <c r="P108" s="22" t="str">
        <f>MID(VLOOKUP(C108,[1]Sheet1!$A$1:$AH$85,12,0),4,1)</f>
        <v/>
      </c>
      <c r="Q108" s="22" t="str">
        <f>MID(VLOOKUP(C108,[1]Sheet1!$A$1:$AH$85,12,0),6,1)</f>
        <v/>
      </c>
      <c r="R108" s="22" t="str">
        <f>MID(VLOOKUP(C108,[1]Sheet1!$A$1:$AH$85,12,0),8,1)</f>
        <v/>
      </c>
      <c r="T108" s="23" t="s">
        <v>94</v>
      </c>
    </row>
    <row r="109" spans="1:20">
      <c r="A109" s="40">
        <v>102006</v>
      </c>
      <c r="B109" s="27">
        <v>102006</v>
      </c>
      <c r="C109" s="19">
        <v>2006</v>
      </c>
      <c r="D109" s="19">
        <v>1</v>
      </c>
      <c r="E109" s="19">
        <v>1067088</v>
      </c>
      <c r="F109" s="20" t="s">
        <v>95</v>
      </c>
      <c r="J109" s="35" t="s">
        <v>96</v>
      </c>
      <c r="K109" s="18" t="s">
        <v>97</v>
      </c>
      <c r="L109" s="22">
        <f>VLOOKUP(C109,[1]Sheet1!$A$1:$K$85,11,0)</f>
        <v>4</v>
      </c>
      <c r="M109" s="22">
        <f>VLOOKUP(C109,[1]Sheet1!$A$1:$K$85,3,0)</f>
        <v>2</v>
      </c>
      <c r="N109" s="22">
        <f>VLOOKUP(C109,[1]Sheet1!$A$1:$AH$85,34,0)</f>
        <v>0</v>
      </c>
      <c r="O109" s="22" t="str">
        <f>MID(VLOOKUP(C109,[1]Sheet1!$A$1:$AH$85,12,0),2,1)</f>
        <v>1</v>
      </c>
      <c r="P109" s="22" t="str">
        <f>MID(VLOOKUP(C109,[1]Sheet1!$A$1:$AH$85,12,0),4,1)</f>
        <v>7</v>
      </c>
      <c r="Q109" s="22" t="str">
        <f>MID(VLOOKUP(C109,[1]Sheet1!$A$1:$AH$85,12,0),6,1)</f>
        <v/>
      </c>
      <c r="R109" s="22" t="str">
        <f>MID(VLOOKUP(C109,[1]Sheet1!$A$1:$AH$85,12,0),8,1)</f>
        <v/>
      </c>
      <c r="T109" s="23" t="s">
        <v>98</v>
      </c>
    </row>
    <row r="110" spans="1:20">
      <c r="A110" s="40">
        <v>102007</v>
      </c>
      <c r="B110" s="27">
        <v>102007</v>
      </c>
      <c r="C110" s="19">
        <v>2007</v>
      </c>
      <c r="D110" s="19">
        <v>1</v>
      </c>
      <c r="E110" s="19">
        <v>33360</v>
      </c>
      <c r="F110" s="20" t="s">
        <v>67</v>
      </c>
      <c r="J110" s="35" t="s">
        <v>99</v>
      </c>
      <c r="K110" s="18" t="s">
        <v>100</v>
      </c>
      <c r="L110" s="22">
        <f>VLOOKUP(C110,[1]Sheet1!$A$1:$K$85,11,0)</f>
        <v>4</v>
      </c>
      <c r="M110" s="22">
        <f>VLOOKUP(C110,[1]Sheet1!$A$1:$K$85,3,0)</f>
        <v>2</v>
      </c>
      <c r="N110" s="22">
        <f>VLOOKUP(C110,[1]Sheet1!$A$1:$AH$85,34,0)</f>
        <v>0</v>
      </c>
      <c r="O110" s="22" t="str">
        <f>MID(VLOOKUP(C110,[1]Sheet1!$A$1:$AH$85,12,0),2,1)</f>
        <v>2</v>
      </c>
      <c r="P110" s="22" t="str">
        <f>MID(VLOOKUP(C110,[1]Sheet1!$A$1:$AH$85,12,0),4,1)</f>
        <v/>
      </c>
      <c r="Q110" s="22" t="str">
        <f>MID(VLOOKUP(C110,[1]Sheet1!$A$1:$AH$85,12,0),6,1)</f>
        <v/>
      </c>
      <c r="R110" s="22" t="str">
        <f>MID(VLOOKUP(C110,[1]Sheet1!$A$1:$AH$85,12,0),8,1)</f>
        <v/>
      </c>
      <c r="T110" s="23" t="s">
        <v>101</v>
      </c>
    </row>
    <row r="111" spans="1:20">
      <c r="A111" s="40">
        <v>102008</v>
      </c>
      <c r="B111" s="27">
        <v>102008</v>
      </c>
      <c r="C111" s="19">
        <v>2008</v>
      </c>
      <c r="D111" s="19">
        <v>1</v>
      </c>
      <c r="E111" s="19">
        <v>33864</v>
      </c>
      <c r="F111" s="20" t="s">
        <v>56</v>
      </c>
      <c r="J111" s="35" t="s">
        <v>102</v>
      </c>
      <c r="K111" s="18" t="s">
        <v>103</v>
      </c>
      <c r="L111" s="22">
        <f>VLOOKUP(C111,[1]Sheet1!$A$1:$K$85,11,0)</f>
        <v>3</v>
      </c>
      <c r="M111" s="22">
        <f>VLOOKUP(C111,[1]Sheet1!$A$1:$K$85,3,0)</f>
        <v>2</v>
      </c>
      <c r="N111" s="22">
        <f>VLOOKUP(C111,[1]Sheet1!$A$1:$AH$85,34,0)</f>
        <v>0</v>
      </c>
      <c r="O111" s="22" t="str">
        <f>MID(VLOOKUP(C111,[1]Sheet1!$A$1:$AH$85,12,0),2,1)</f>
        <v>2</v>
      </c>
      <c r="P111" s="22" t="str">
        <f>MID(VLOOKUP(C111,[1]Sheet1!$A$1:$AH$85,12,0),4,1)</f>
        <v/>
      </c>
      <c r="Q111" s="22" t="str">
        <f>MID(VLOOKUP(C111,[1]Sheet1!$A$1:$AH$85,12,0),6,1)</f>
        <v/>
      </c>
      <c r="R111" s="22" t="str">
        <f>MID(VLOOKUP(C111,[1]Sheet1!$A$1:$AH$85,12,0),8,1)</f>
        <v/>
      </c>
      <c r="T111" s="23" t="s">
        <v>104</v>
      </c>
    </row>
    <row r="112" spans="1:20">
      <c r="A112" s="40">
        <v>102009</v>
      </c>
      <c r="B112" s="27">
        <v>102009</v>
      </c>
      <c r="C112" s="19">
        <v>2009</v>
      </c>
      <c r="D112" s="19">
        <v>1</v>
      </c>
      <c r="E112" s="19">
        <v>1049160</v>
      </c>
      <c r="F112" s="20" t="s">
        <v>67</v>
      </c>
      <c r="J112" s="35" t="s">
        <v>105</v>
      </c>
      <c r="K112" s="18" t="s">
        <v>106</v>
      </c>
      <c r="L112" s="22">
        <f>VLOOKUP(C112,[1]Sheet1!$A$1:$K$85,11,0)</f>
        <v>3</v>
      </c>
      <c r="M112" s="22">
        <f>VLOOKUP(C112,[1]Sheet1!$A$1:$K$85,3,0)</f>
        <v>2</v>
      </c>
      <c r="N112" s="22">
        <f>VLOOKUP(C112,[1]Sheet1!$A$1:$AH$85,34,0)</f>
        <v>0</v>
      </c>
      <c r="O112" s="22" t="str">
        <f>MID(VLOOKUP(C112,[1]Sheet1!$A$1:$AH$85,12,0),2,1)</f>
        <v>7</v>
      </c>
      <c r="P112" s="22" t="str">
        <f>MID(VLOOKUP(C112,[1]Sheet1!$A$1:$AH$85,12,0),4,1)</f>
        <v/>
      </c>
      <c r="Q112" s="22" t="str">
        <f>MID(VLOOKUP(C112,[1]Sheet1!$A$1:$AH$85,12,0),6,1)</f>
        <v/>
      </c>
      <c r="R112" s="22" t="str">
        <f>MID(VLOOKUP(C112,[1]Sheet1!$A$1:$AH$85,12,0),8,1)</f>
        <v/>
      </c>
      <c r="T112" s="23" t="s">
        <v>107</v>
      </c>
    </row>
    <row r="113" spans="1:20">
      <c r="A113" s="40">
        <v>102010</v>
      </c>
      <c r="B113" s="27">
        <v>102010</v>
      </c>
      <c r="C113" s="31">
        <v>2010</v>
      </c>
      <c r="D113" s="19">
        <v>1</v>
      </c>
      <c r="E113" s="19">
        <v>37000</v>
      </c>
      <c r="F113" s="20" t="s">
        <v>80</v>
      </c>
      <c r="J113" s="36" t="s">
        <v>108</v>
      </c>
      <c r="K113" s="18" t="s">
        <v>264</v>
      </c>
      <c r="L113" s="22">
        <f>VLOOKUP(C113,[1]Sheet1!$A$1:$K$85,11,0)</f>
        <v>3</v>
      </c>
      <c r="M113" s="22">
        <f>VLOOKUP(C113,[1]Sheet1!$A$1:$K$85,3,0)</f>
        <v>3</v>
      </c>
      <c r="N113" s="22">
        <f>VLOOKUP(C113,[1]Sheet1!$A$1:$AH$85,34,0)</f>
        <v>0</v>
      </c>
      <c r="O113" s="22" t="str">
        <f>MID(VLOOKUP(C113,[1]Sheet1!$A$1:$AH$85,12,0),2,1)</f>
        <v>2</v>
      </c>
      <c r="P113" s="22" t="str">
        <f>MID(VLOOKUP(C113,[1]Sheet1!$A$1:$AH$85,12,0),4,1)</f>
        <v/>
      </c>
      <c r="Q113" s="22" t="str">
        <f>MID(VLOOKUP(C113,[1]Sheet1!$A$1:$AH$85,12,0),6,1)</f>
        <v/>
      </c>
      <c r="R113" s="22" t="str">
        <f>MID(VLOOKUP(C113,[1]Sheet1!$A$1:$AH$85,12,0),8,1)</f>
        <v/>
      </c>
      <c r="T113" s="23" t="s">
        <v>110</v>
      </c>
    </row>
    <row r="114" spans="1:20">
      <c r="A114" s="40">
        <v>102011</v>
      </c>
      <c r="B114" s="27">
        <v>102011</v>
      </c>
      <c r="C114" s="19">
        <v>2011</v>
      </c>
      <c r="D114" s="19">
        <v>1</v>
      </c>
      <c r="E114" s="19">
        <v>33412</v>
      </c>
      <c r="F114" s="20" t="s">
        <v>111</v>
      </c>
      <c r="J114" s="35" t="s">
        <v>112</v>
      </c>
      <c r="K114" s="18" t="s">
        <v>113</v>
      </c>
      <c r="L114" s="22">
        <f>VLOOKUP(C114,[1]Sheet1!$A$1:$K$85,11,0)</f>
        <v>2</v>
      </c>
      <c r="M114" s="22">
        <f>VLOOKUP(C114,[1]Sheet1!$A$1:$K$85,3,0)</f>
        <v>3</v>
      </c>
      <c r="N114" s="22">
        <f>VLOOKUP(C114,[1]Sheet1!$A$1:$AH$85,34,0)</f>
        <v>0</v>
      </c>
      <c r="O114" s="22" t="str">
        <f>MID(VLOOKUP(C114,[1]Sheet1!$A$1:$AH$85,12,0),2,1)</f>
        <v>2</v>
      </c>
      <c r="P114" s="22" t="str">
        <f>MID(VLOOKUP(C114,[1]Sheet1!$A$1:$AH$85,12,0),4,1)</f>
        <v/>
      </c>
      <c r="Q114" s="22" t="str">
        <f>MID(VLOOKUP(C114,[1]Sheet1!$A$1:$AH$85,12,0),6,1)</f>
        <v/>
      </c>
      <c r="R114" s="22" t="str">
        <f>MID(VLOOKUP(C114,[1]Sheet1!$A$1:$AH$85,12,0),8,1)</f>
        <v/>
      </c>
      <c r="T114" s="23" t="s">
        <v>114</v>
      </c>
    </row>
    <row r="115" spans="1:20">
      <c r="A115" s="40">
        <v>102012</v>
      </c>
      <c r="B115" s="27">
        <v>102012</v>
      </c>
      <c r="C115" s="19">
        <v>2012</v>
      </c>
      <c r="D115" s="19">
        <v>1</v>
      </c>
      <c r="E115" s="19">
        <v>66692</v>
      </c>
      <c r="F115" s="20" t="s">
        <v>84</v>
      </c>
      <c r="J115" s="35" t="s">
        <v>115</v>
      </c>
      <c r="K115" s="18" t="s">
        <v>116</v>
      </c>
      <c r="L115" s="22">
        <f>VLOOKUP(C115,[1]Sheet1!$A$1:$K$85,11,0)</f>
        <v>2</v>
      </c>
      <c r="M115" s="22">
        <f>VLOOKUP(C115,[1]Sheet1!$A$1:$K$85,3,0)</f>
        <v>3</v>
      </c>
      <c r="N115" s="22">
        <f>VLOOKUP(C115,[1]Sheet1!$A$1:$AH$85,34,0)</f>
        <v>0</v>
      </c>
      <c r="O115" s="22" t="str">
        <f>MID(VLOOKUP(C115,[1]Sheet1!$A$1:$AH$85,12,0),2,1)</f>
        <v>3</v>
      </c>
      <c r="P115" s="22" t="str">
        <f>MID(VLOOKUP(C115,[1]Sheet1!$A$1:$AH$85,12,0),4,1)</f>
        <v/>
      </c>
      <c r="Q115" s="22" t="str">
        <f>MID(VLOOKUP(C115,[1]Sheet1!$A$1:$AH$85,12,0),6,1)</f>
        <v/>
      </c>
      <c r="R115" s="22" t="str">
        <f>MID(VLOOKUP(C115,[1]Sheet1!$A$1:$AH$85,12,0),8,1)</f>
        <v/>
      </c>
      <c r="T115" s="23" t="s">
        <v>94</v>
      </c>
    </row>
    <row r="116" spans="1:20">
      <c r="A116" s="40">
        <v>102013</v>
      </c>
      <c r="B116" s="27">
        <v>102013</v>
      </c>
      <c r="C116" s="19">
        <v>2013</v>
      </c>
      <c r="D116" s="19">
        <v>1</v>
      </c>
      <c r="E116" s="19">
        <v>1115216</v>
      </c>
      <c r="F116" s="20" t="s">
        <v>56</v>
      </c>
      <c r="J116" s="35" t="s">
        <v>117</v>
      </c>
      <c r="K116" s="18" t="s">
        <v>118</v>
      </c>
      <c r="L116" s="22">
        <f>VLOOKUP(C116,[1]Sheet1!$A$1:$K$85,11,0)</f>
        <v>4</v>
      </c>
      <c r="M116" s="22">
        <f>VLOOKUP(C116,[1]Sheet1!$A$1:$K$85,3,0)</f>
        <v>2</v>
      </c>
      <c r="N116" s="22">
        <f>VLOOKUP(C116,[1]Sheet1!$A$1:$AH$85,34,0)</f>
        <v>0</v>
      </c>
      <c r="O116" s="22" t="str">
        <f>MID(VLOOKUP(C116,[1]Sheet1!$A$1:$AH$85,12,0),2,1)</f>
        <v>7</v>
      </c>
      <c r="P116" s="22" t="str">
        <f>MID(VLOOKUP(C116,[1]Sheet1!$A$1:$AH$85,12,0),4,1)</f>
        <v>3</v>
      </c>
      <c r="Q116" s="22" t="str">
        <f>MID(VLOOKUP(C116,[1]Sheet1!$A$1:$AH$85,12,0),6,1)</f>
        <v/>
      </c>
      <c r="R116" s="22" t="str">
        <f>MID(VLOOKUP(C116,[1]Sheet1!$A$1:$AH$85,12,0),8,1)</f>
        <v/>
      </c>
      <c r="T116" s="23" t="s">
        <v>119</v>
      </c>
    </row>
    <row r="117" spans="1:20">
      <c r="A117" s="40">
        <v>102015</v>
      </c>
      <c r="B117" s="27">
        <v>102015</v>
      </c>
      <c r="C117" s="19">
        <v>2015</v>
      </c>
      <c r="D117" s="19">
        <v>1</v>
      </c>
      <c r="E117" s="19">
        <v>66120</v>
      </c>
      <c r="F117" s="20" t="s">
        <v>67</v>
      </c>
      <c r="J117" s="35" t="s">
        <v>120</v>
      </c>
      <c r="K117" s="18" t="s">
        <v>121</v>
      </c>
      <c r="L117" s="22">
        <f>VLOOKUP(C117,[1]Sheet1!$A$1:$K$85,11,0)</f>
        <v>3</v>
      </c>
      <c r="M117" s="22">
        <f>VLOOKUP(C117,[1]Sheet1!$A$1:$K$85,3,0)</f>
        <v>2</v>
      </c>
      <c r="N117" s="22">
        <f>VLOOKUP(C117,[1]Sheet1!$A$1:$AH$85,34,0)</f>
        <v>0</v>
      </c>
      <c r="O117" s="22" t="str">
        <f>MID(VLOOKUP(C117,[1]Sheet1!$A$1:$AH$85,12,0),2,1)</f>
        <v>3</v>
      </c>
      <c r="P117" s="22" t="str">
        <f>MID(VLOOKUP(C117,[1]Sheet1!$A$1:$AH$85,12,0),4,1)</f>
        <v/>
      </c>
      <c r="Q117" s="22" t="str">
        <f>MID(VLOOKUP(C117,[1]Sheet1!$A$1:$AH$85,12,0),6,1)</f>
        <v/>
      </c>
      <c r="R117" s="22" t="str">
        <f>MID(VLOOKUP(C117,[1]Sheet1!$A$1:$AH$85,12,0),8,1)</f>
        <v/>
      </c>
      <c r="T117" s="23" t="s">
        <v>107</v>
      </c>
    </row>
    <row r="118" spans="1:20">
      <c r="A118" s="40">
        <v>102016</v>
      </c>
      <c r="B118" s="27">
        <v>102016</v>
      </c>
      <c r="C118" s="19">
        <v>2016</v>
      </c>
      <c r="D118" s="19">
        <v>1</v>
      </c>
      <c r="E118" s="19">
        <v>33410</v>
      </c>
      <c r="F118" s="20" t="s">
        <v>111</v>
      </c>
      <c r="J118" s="35" t="s">
        <v>122</v>
      </c>
      <c r="K118" s="18" t="s">
        <v>113</v>
      </c>
      <c r="L118" s="22">
        <f>VLOOKUP(C118,[1]Sheet1!$A$1:$K$85,11,0)</f>
        <v>1</v>
      </c>
      <c r="M118" s="22">
        <f>VLOOKUP(C118,[1]Sheet1!$A$1:$K$85,3,0)</f>
        <v>3</v>
      </c>
      <c r="N118" s="22">
        <f>VLOOKUP(C118,[1]Sheet1!$A$1:$AH$85,34,0)</f>
        <v>0</v>
      </c>
      <c r="O118" s="22" t="str">
        <f>MID(VLOOKUP(C118,[1]Sheet1!$A$1:$AH$85,12,0),2,1)</f>
        <v>2</v>
      </c>
      <c r="P118" s="22" t="str">
        <f>MID(VLOOKUP(C118,[1]Sheet1!$A$1:$AH$85,12,0),4,1)</f>
        <v/>
      </c>
      <c r="Q118" s="22" t="str">
        <f>MID(VLOOKUP(C118,[1]Sheet1!$A$1:$AH$85,12,0),6,1)</f>
        <v/>
      </c>
      <c r="R118" s="22" t="str">
        <f>MID(VLOOKUP(C118,[1]Sheet1!$A$1:$AH$85,12,0),8,1)</f>
        <v/>
      </c>
      <c r="T118" s="23" t="s">
        <v>124</v>
      </c>
    </row>
    <row r="119" spans="1:20">
      <c r="A119" s="40">
        <v>102017</v>
      </c>
      <c r="B119" s="27">
        <v>102017</v>
      </c>
      <c r="C119" s="19">
        <v>2017</v>
      </c>
      <c r="D119" s="19">
        <v>1</v>
      </c>
      <c r="E119" s="19">
        <v>133186</v>
      </c>
      <c r="F119" s="20" t="s">
        <v>88</v>
      </c>
      <c r="J119" s="35" t="s">
        <v>125</v>
      </c>
      <c r="K119" s="18" t="s">
        <v>126</v>
      </c>
      <c r="L119" s="22">
        <f>VLOOKUP(C119,[1]Sheet1!$A$1:$K$85,11,0)</f>
        <v>1</v>
      </c>
      <c r="M119" s="22">
        <f>VLOOKUP(C119,[1]Sheet1!$A$1:$K$85,3,0)</f>
        <v>2</v>
      </c>
      <c r="N119" s="22">
        <f>VLOOKUP(C119,[1]Sheet1!$A$1:$AH$85,34,0)</f>
        <v>0</v>
      </c>
      <c r="O119" s="22" t="str">
        <f>MID(VLOOKUP(C119,[1]Sheet1!$A$1:$AH$85,12,0),2,1)</f>
        <v>4</v>
      </c>
      <c r="P119" s="22" t="str">
        <f>MID(VLOOKUP(C119,[1]Sheet1!$A$1:$AH$85,12,0),4,1)</f>
        <v/>
      </c>
      <c r="Q119" s="22" t="str">
        <f>MID(VLOOKUP(C119,[1]Sheet1!$A$1:$AH$85,12,0),6,1)</f>
        <v/>
      </c>
      <c r="R119" s="22" t="str">
        <f>MID(VLOOKUP(C119,[1]Sheet1!$A$1:$AH$85,12,0),8,1)</f>
        <v/>
      </c>
      <c r="T119" s="23" t="s">
        <v>127</v>
      </c>
    </row>
    <row r="120" spans="1:20">
      <c r="A120" s="40">
        <v>103000</v>
      </c>
      <c r="B120" s="27">
        <v>103000</v>
      </c>
      <c r="C120" s="19">
        <v>3000</v>
      </c>
      <c r="D120" s="19">
        <v>1</v>
      </c>
      <c r="E120" s="19">
        <v>1082512</v>
      </c>
      <c r="F120" s="20" t="s">
        <v>84</v>
      </c>
      <c r="J120" s="26" t="s">
        <v>128</v>
      </c>
      <c r="K120" s="18" t="s">
        <v>129</v>
      </c>
      <c r="L120" s="22">
        <f>VLOOKUP(C120,[1]Sheet1!$A$1:$K$85,11,0)</f>
        <v>4</v>
      </c>
      <c r="M120" s="22">
        <f>VLOOKUP(C120,[1]Sheet1!$A$1:$K$85,3,0)</f>
        <v>3</v>
      </c>
      <c r="N120" s="22">
        <f>VLOOKUP(C120,[1]Sheet1!$A$1:$AH$85,34,0)</f>
        <v>0</v>
      </c>
      <c r="O120" s="22" t="str">
        <f>MID(VLOOKUP(C120,[1]Sheet1!$A$1:$AH$85,12,0),2,1)</f>
        <v>2</v>
      </c>
      <c r="P120" s="22" t="str">
        <f>MID(VLOOKUP(C120,[1]Sheet1!$A$1:$AH$85,12,0),4,1)</f>
        <v>7</v>
      </c>
      <c r="Q120" s="22" t="str">
        <f>MID(VLOOKUP(C120,[1]Sheet1!$A$1:$AH$85,12,0),6,1)</f>
        <v/>
      </c>
      <c r="R120" s="22" t="str">
        <f>MID(VLOOKUP(C120,[1]Sheet1!$A$1:$AH$85,12,0),8,1)</f>
        <v/>
      </c>
      <c r="T120" s="23" t="s">
        <v>130</v>
      </c>
    </row>
    <row r="121" spans="1:20">
      <c r="A121" s="40">
        <v>103001</v>
      </c>
      <c r="B121" s="27">
        <v>103001</v>
      </c>
      <c r="C121" s="19">
        <v>3001</v>
      </c>
      <c r="D121" s="19">
        <v>1</v>
      </c>
      <c r="E121" s="19">
        <v>1049232</v>
      </c>
      <c r="F121" s="20" t="s">
        <v>111</v>
      </c>
      <c r="J121" s="26" t="s">
        <v>131</v>
      </c>
      <c r="K121" s="18" t="s">
        <v>132</v>
      </c>
      <c r="L121" s="22">
        <f>VLOOKUP(C121,[1]Sheet1!$A$1:$K$85,11,0)</f>
        <v>4</v>
      </c>
      <c r="M121" s="22">
        <f>VLOOKUP(C121,[1]Sheet1!$A$1:$K$85,3,0)</f>
        <v>3</v>
      </c>
      <c r="N121" s="22">
        <f>VLOOKUP(C121,[1]Sheet1!$A$1:$AH$85,34,0)</f>
        <v>0</v>
      </c>
      <c r="O121" s="22" t="str">
        <f>MID(VLOOKUP(C121,[1]Sheet1!$A$1:$AH$85,12,0),2,1)</f>
        <v>7</v>
      </c>
      <c r="P121" s="22" t="str">
        <f>MID(VLOOKUP(C121,[1]Sheet1!$A$1:$AH$85,12,0),4,1)</f>
        <v/>
      </c>
      <c r="Q121" s="22" t="str">
        <f>MID(VLOOKUP(C121,[1]Sheet1!$A$1:$AH$85,12,0),6,1)</f>
        <v/>
      </c>
      <c r="R121" s="22" t="str">
        <f>MID(VLOOKUP(C121,[1]Sheet1!$A$1:$AH$85,12,0),8,1)</f>
        <v/>
      </c>
      <c r="T121" s="23" t="s">
        <v>133</v>
      </c>
    </row>
    <row r="122" spans="1:20">
      <c r="A122" s="40">
        <v>103003</v>
      </c>
      <c r="B122" s="27">
        <v>103003</v>
      </c>
      <c r="C122" s="19">
        <v>3003</v>
      </c>
      <c r="D122" s="19">
        <v>1</v>
      </c>
      <c r="E122" s="19">
        <v>1049224</v>
      </c>
      <c r="F122" s="20" t="s">
        <v>111</v>
      </c>
      <c r="J122" s="26" t="s">
        <v>134</v>
      </c>
      <c r="K122" s="18" t="s">
        <v>135</v>
      </c>
      <c r="L122" s="22">
        <f>VLOOKUP(C122,[1]Sheet1!$A$1:$K$85,11,0)</f>
        <v>3</v>
      </c>
      <c r="M122" s="22">
        <f>VLOOKUP(C122,[1]Sheet1!$A$1:$K$85,3,0)</f>
        <v>3</v>
      </c>
      <c r="N122" s="22">
        <f>VLOOKUP(C122,[1]Sheet1!$A$1:$AH$85,34,0)</f>
        <v>0</v>
      </c>
      <c r="O122" s="22" t="str">
        <f>MID(VLOOKUP(C122,[1]Sheet1!$A$1:$AH$85,12,0),2,1)</f>
        <v>7</v>
      </c>
      <c r="P122" s="22" t="str">
        <f>MID(VLOOKUP(C122,[1]Sheet1!$A$1:$AH$85,12,0),4,1)</f>
        <v/>
      </c>
      <c r="Q122" s="22" t="str">
        <f>MID(VLOOKUP(C122,[1]Sheet1!$A$1:$AH$85,12,0),6,1)</f>
        <v/>
      </c>
      <c r="R122" s="22" t="str">
        <f>MID(VLOOKUP(C122,[1]Sheet1!$A$1:$AH$85,12,0),8,1)</f>
        <v/>
      </c>
      <c r="T122" s="23" t="s">
        <v>136</v>
      </c>
    </row>
    <row r="123" spans="1:20">
      <c r="A123" s="40">
        <v>103004</v>
      </c>
      <c r="B123" s="27">
        <v>103004</v>
      </c>
      <c r="C123" s="19">
        <v>3004</v>
      </c>
      <c r="D123" s="19">
        <v>1</v>
      </c>
      <c r="E123" s="19">
        <v>37008</v>
      </c>
      <c r="F123" s="20" t="s">
        <v>80</v>
      </c>
      <c r="J123" s="26" t="s">
        <v>137</v>
      </c>
      <c r="K123" s="18" t="s">
        <v>265</v>
      </c>
      <c r="L123" s="22">
        <f>VLOOKUP(C123,[1]Sheet1!$A$1:$K$85,11,0)</f>
        <v>4</v>
      </c>
      <c r="M123" s="22">
        <f>VLOOKUP(C123,[1]Sheet1!$A$1:$K$85,3,0)</f>
        <v>3</v>
      </c>
      <c r="N123" s="22">
        <f>VLOOKUP(C123,[1]Sheet1!$A$1:$AH$85,34,0)</f>
        <v>0</v>
      </c>
      <c r="O123" s="22" t="str">
        <f>MID(VLOOKUP(C123,[1]Sheet1!$A$1:$AH$85,12,0),2,1)</f>
        <v>2</v>
      </c>
      <c r="P123" s="22" t="str">
        <f>MID(VLOOKUP(C123,[1]Sheet1!$A$1:$AH$85,12,0),4,1)</f>
        <v/>
      </c>
      <c r="Q123" s="22" t="str">
        <f>MID(VLOOKUP(C123,[1]Sheet1!$A$1:$AH$85,12,0),6,1)</f>
        <v/>
      </c>
      <c r="R123" s="22" t="str">
        <f>MID(VLOOKUP(C123,[1]Sheet1!$A$1:$AH$85,12,0),8,1)</f>
        <v/>
      </c>
      <c r="T123" s="23" t="s">
        <v>139</v>
      </c>
    </row>
    <row r="124" spans="1:20">
      <c r="A124" s="40">
        <v>103005</v>
      </c>
      <c r="B124" s="27">
        <v>103005</v>
      </c>
      <c r="C124" s="19">
        <v>3005</v>
      </c>
      <c r="D124" s="19">
        <v>1</v>
      </c>
      <c r="E124" s="19">
        <v>1049232</v>
      </c>
      <c r="F124" s="20" t="s">
        <v>111</v>
      </c>
      <c r="J124" s="26" t="s">
        <v>140</v>
      </c>
      <c r="K124" s="25" t="s">
        <v>141</v>
      </c>
      <c r="L124" s="22">
        <f>VLOOKUP(C124,[1]Sheet1!$A$1:$K$85,11,0)</f>
        <v>4</v>
      </c>
      <c r="M124" s="22">
        <f>VLOOKUP(C124,[1]Sheet1!$A$1:$K$85,3,0)</f>
        <v>3</v>
      </c>
      <c r="N124" s="22">
        <f>VLOOKUP(C124,[1]Sheet1!$A$1:$AH$85,34,0)</f>
        <v>0</v>
      </c>
      <c r="O124" s="22" t="str">
        <f>MID(VLOOKUP(C124,[1]Sheet1!$A$1:$AH$85,12,0),2,1)</f>
        <v>7</v>
      </c>
      <c r="P124" s="22" t="str">
        <f>MID(VLOOKUP(C124,[1]Sheet1!$A$1:$AH$85,12,0),4,1)</f>
        <v/>
      </c>
      <c r="Q124" s="22" t="str">
        <f>MID(VLOOKUP(C124,[1]Sheet1!$A$1:$AH$85,12,0),6,1)</f>
        <v/>
      </c>
      <c r="R124" s="22" t="str">
        <f>MID(VLOOKUP(C124,[1]Sheet1!$A$1:$AH$85,12,0),8,1)</f>
        <v/>
      </c>
      <c r="T124" s="23" t="s">
        <v>133</v>
      </c>
    </row>
    <row r="125" spans="1:20">
      <c r="A125" s="40">
        <v>103006</v>
      </c>
      <c r="B125" s="27">
        <v>103006</v>
      </c>
      <c r="C125" s="19">
        <v>3006</v>
      </c>
      <c r="D125" s="19">
        <v>1</v>
      </c>
      <c r="E125" s="19">
        <v>263304</v>
      </c>
      <c r="F125" s="20" t="s">
        <v>84</v>
      </c>
      <c r="J125" s="26" t="s">
        <v>142</v>
      </c>
      <c r="K125" s="18" t="s">
        <v>143</v>
      </c>
      <c r="L125" s="22">
        <f>VLOOKUP(C125,[1]Sheet1!$A$1:$K$85,11,0)</f>
        <v>3</v>
      </c>
      <c r="M125" s="22">
        <f>VLOOKUP(C125,[1]Sheet1!$A$1:$K$85,3,0)</f>
        <v>3</v>
      </c>
      <c r="N125" s="22">
        <f>VLOOKUP(C125,[1]Sheet1!$A$1:$AH$85,34,0)</f>
        <v>0</v>
      </c>
      <c r="O125" s="22" t="str">
        <f>MID(VLOOKUP(C125,[1]Sheet1!$A$1:$AH$85,12,0),2,1)</f>
        <v>5</v>
      </c>
      <c r="P125" s="22" t="str">
        <f>MID(VLOOKUP(C125,[1]Sheet1!$A$1:$AH$85,12,0),4,1)</f>
        <v/>
      </c>
      <c r="Q125" s="22" t="str">
        <f>MID(VLOOKUP(C125,[1]Sheet1!$A$1:$AH$85,12,0),6,1)</f>
        <v/>
      </c>
      <c r="R125" s="22" t="str">
        <f>MID(VLOOKUP(C125,[1]Sheet1!$A$1:$AH$85,12,0),8,1)</f>
        <v/>
      </c>
      <c r="T125" s="23" t="s">
        <v>144</v>
      </c>
    </row>
    <row r="126" spans="1:20">
      <c r="A126" s="40">
        <v>103008</v>
      </c>
      <c r="B126" s="27">
        <v>103008</v>
      </c>
      <c r="C126" s="19">
        <v>3008</v>
      </c>
      <c r="D126" s="19">
        <v>1</v>
      </c>
      <c r="E126" s="19">
        <v>36994</v>
      </c>
      <c r="F126" s="20" t="s">
        <v>80</v>
      </c>
      <c r="J126" s="26" t="s">
        <v>145</v>
      </c>
      <c r="K126" s="18" t="s">
        <v>146</v>
      </c>
      <c r="L126" s="22">
        <f>VLOOKUP(C126,[1]Sheet1!$A$1:$K$85,11,0)</f>
        <v>1</v>
      </c>
      <c r="M126" s="22">
        <f>VLOOKUP(C126,[1]Sheet1!$A$1:$K$85,3,0)</f>
        <v>3</v>
      </c>
      <c r="N126" s="22">
        <f>VLOOKUP(C126,[1]Sheet1!$A$1:$AH$85,34,0)</f>
        <v>0</v>
      </c>
      <c r="O126" s="22" t="str">
        <f>MID(VLOOKUP(C126,[1]Sheet1!$A$1:$AH$85,12,0),2,1)</f>
        <v>2</v>
      </c>
      <c r="P126" s="22" t="str">
        <f>MID(VLOOKUP(C126,[1]Sheet1!$A$1:$AH$85,12,0),4,1)</f>
        <v/>
      </c>
      <c r="Q126" s="22" t="str">
        <f>MID(VLOOKUP(C126,[1]Sheet1!$A$1:$AH$85,12,0),6,1)</f>
        <v/>
      </c>
      <c r="R126" s="22" t="str">
        <f>MID(VLOOKUP(C126,[1]Sheet1!$A$1:$AH$85,12,0),8,1)</f>
        <v/>
      </c>
      <c r="T126" s="23" t="s">
        <v>83</v>
      </c>
    </row>
    <row r="127" spans="1:20">
      <c r="A127" s="40">
        <v>103009</v>
      </c>
      <c r="B127" s="27">
        <v>103009</v>
      </c>
      <c r="C127" s="19">
        <v>3009</v>
      </c>
      <c r="D127" s="19">
        <v>1</v>
      </c>
      <c r="E127" s="19">
        <v>34946</v>
      </c>
      <c r="F127" s="20" t="s">
        <v>88</v>
      </c>
      <c r="J127" s="26" t="s">
        <v>147</v>
      </c>
      <c r="K127" s="18" t="s">
        <v>148</v>
      </c>
      <c r="L127" s="22">
        <f>VLOOKUP(C127,[1]Sheet1!$A$1:$K$85,11,0)</f>
        <v>1</v>
      </c>
      <c r="M127" s="22">
        <f>VLOOKUP(C127,[1]Sheet1!$A$1:$K$85,3,0)</f>
        <v>3</v>
      </c>
      <c r="N127" s="22">
        <f>VLOOKUP(C127,[1]Sheet1!$A$1:$AH$85,34,0)</f>
        <v>0</v>
      </c>
      <c r="O127" s="22" t="str">
        <f>MID(VLOOKUP(C127,[1]Sheet1!$A$1:$AH$85,12,0),2,1)</f>
        <v>2</v>
      </c>
      <c r="P127" s="22" t="str">
        <f>MID(VLOOKUP(C127,[1]Sheet1!$A$1:$AH$85,12,0),4,1)</f>
        <v/>
      </c>
      <c r="Q127" s="22" t="str">
        <f>MID(VLOOKUP(C127,[1]Sheet1!$A$1:$AH$85,12,0),6,1)</f>
        <v/>
      </c>
      <c r="R127" s="22" t="str">
        <f>MID(VLOOKUP(C127,[1]Sheet1!$A$1:$AH$85,12,0),8,1)</f>
        <v/>
      </c>
      <c r="T127" s="23" t="s">
        <v>149</v>
      </c>
    </row>
    <row r="128" spans="1:20">
      <c r="A128" s="40">
        <v>103010</v>
      </c>
      <c r="B128" s="27">
        <v>103010</v>
      </c>
      <c r="C128" s="19">
        <v>3010</v>
      </c>
      <c r="D128" s="19">
        <v>1</v>
      </c>
      <c r="E128" s="19">
        <v>49730</v>
      </c>
      <c r="F128" s="20" t="s">
        <v>111</v>
      </c>
      <c r="J128" s="26" t="s">
        <v>150</v>
      </c>
      <c r="K128" s="18" t="s">
        <v>266</v>
      </c>
      <c r="L128" s="22">
        <f>VLOOKUP(C128,[1]Sheet1!$A$1:$K$85,11,0)</f>
        <v>1</v>
      </c>
      <c r="M128" s="22">
        <f>VLOOKUP(C128,[1]Sheet1!$A$1:$K$85,3,0)</f>
        <v>2</v>
      </c>
      <c r="N128" s="22">
        <f>VLOOKUP(C128,[1]Sheet1!$A$1:$AH$85,34,0)</f>
        <v>0</v>
      </c>
      <c r="O128" s="22" t="str">
        <f>MID(VLOOKUP(C128,[1]Sheet1!$A$1:$AH$85,12,0),2,1)</f>
        <v>1</v>
      </c>
      <c r="P128" s="22" t="str">
        <f>MID(VLOOKUP(C128,[1]Sheet1!$A$1:$AH$85,12,0),4,1)</f>
        <v>2</v>
      </c>
      <c r="Q128" s="22" t="str">
        <f>MID(VLOOKUP(C128,[1]Sheet1!$A$1:$AH$85,12,0),6,1)</f>
        <v/>
      </c>
      <c r="R128" s="22" t="str">
        <f>MID(VLOOKUP(C128,[1]Sheet1!$A$1:$AH$85,12,0),8,1)</f>
        <v/>
      </c>
      <c r="T128" s="23" t="s">
        <v>152</v>
      </c>
    </row>
    <row r="129" spans="1:20">
      <c r="A129" s="40">
        <v>103012</v>
      </c>
      <c r="B129" s="27">
        <v>103012</v>
      </c>
      <c r="C129" s="19">
        <v>3012</v>
      </c>
      <c r="D129" s="19">
        <v>1</v>
      </c>
      <c r="E129" s="19">
        <v>99588</v>
      </c>
      <c r="F129" s="20" t="s">
        <v>153</v>
      </c>
      <c r="J129" s="26" t="s">
        <v>154</v>
      </c>
      <c r="K129" s="18" t="s">
        <v>267</v>
      </c>
      <c r="L129" s="22">
        <f>VLOOKUP(C129,[1]Sheet1!$A$1:$K$85,11,0)</f>
        <v>2</v>
      </c>
      <c r="M129" s="22">
        <f>VLOOKUP(C129,[1]Sheet1!$A$1:$K$85,3,0)</f>
        <v>4</v>
      </c>
      <c r="N129" s="22">
        <f>VLOOKUP(C129,[1]Sheet1!$A$1:$AH$85,34,0)</f>
        <v>0</v>
      </c>
      <c r="O129" s="22" t="str">
        <f>MID(VLOOKUP(C129,[1]Sheet1!$A$1:$AH$85,12,0),2,1)</f>
        <v>3</v>
      </c>
      <c r="P129" s="22" t="str">
        <f>MID(VLOOKUP(C129,[1]Sheet1!$A$1:$AH$85,12,0),4,1)</f>
        <v>2</v>
      </c>
      <c r="Q129" s="22" t="str">
        <f>MID(VLOOKUP(C129,[1]Sheet1!$A$1:$AH$85,12,0),6,1)</f>
        <v/>
      </c>
      <c r="R129" s="22" t="str">
        <f>MID(VLOOKUP(C129,[1]Sheet1!$A$1:$AH$85,12,0),8,1)</f>
        <v/>
      </c>
      <c r="T129" s="23" t="s">
        <v>156</v>
      </c>
    </row>
    <row r="130" spans="1:20">
      <c r="A130" s="40">
        <v>103013</v>
      </c>
      <c r="B130" s="27">
        <v>103013</v>
      </c>
      <c r="C130" s="19">
        <v>3013</v>
      </c>
      <c r="D130" s="19">
        <v>1</v>
      </c>
      <c r="E130" s="19">
        <v>131714</v>
      </c>
      <c r="F130" s="20" t="s">
        <v>111</v>
      </c>
      <c r="J130" s="37" t="s">
        <v>157</v>
      </c>
      <c r="K130" s="18" t="s">
        <v>158</v>
      </c>
      <c r="L130" s="22">
        <f>VLOOKUP(C130,[1]Sheet1!$A$1:$K$85,11,0)</f>
        <v>1</v>
      </c>
      <c r="M130" s="22">
        <f>VLOOKUP(C130,[1]Sheet1!$A$1:$K$85,3,0)</f>
        <v>3</v>
      </c>
      <c r="N130" s="22">
        <f>VLOOKUP(C130,[1]Sheet1!$A$1:$AH$85,34,0)</f>
        <v>0</v>
      </c>
      <c r="O130" s="22" t="str">
        <f>MID(VLOOKUP(C130,[1]Sheet1!$A$1:$AH$85,12,0),2,1)</f>
        <v>4</v>
      </c>
      <c r="P130" s="22" t="str">
        <f>MID(VLOOKUP(C130,[1]Sheet1!$A$1:$AH$85,12,0),4,1)</f>
        <v/>
      </c>
      <c r="Q130" s="22" t="str">
        <f>MID(VLOOKUP(C130,[1]Sheet1!$A$1:$AH$85,12,0),6,1)</f>
        <v/>
      </c>
      <c r="R130" s="22" t="str">
        <f>MID(VLOOKUP(C130,[1]Sheet1!$A$1:$AH$85,12,0),8,1)</f>
        <v/>
      </c>
      <c r="T130" s="23" t="s">
        <v>124</v>
      </c>
    </row>
    <row r="131" spans="1:20">
      <c r="A131" s="40">
        <v>103015</v>
      </c>
      <c r="B131" s="27">
        <v>103015</v>
      </c>
      <c r="C131" s="19">
        <v>3015</v>
      </c>
      <c r="D131" s="19">
        <v>1</v>
      </c>
      <c r="E131" s="19">
        <v>66690</v>
      </c>
      <c r="F131" s="20" t="s">
        <v>84</v>
      </c>
      <c r="J131" s="26" t="s">
        <v>159</v>
      </c>
      <c r="K131" s="18" t="s">
        <v>160</v>
      </c>
      <c r="L131" s="22">
        <f>VLOOKUP(C131,[1]Sheet1!$A$1:$K$85,11,0)</f>
        <v>1</v>
      </c>
      <c r="M131" s="22">
        <f>VLOOKUP(C131,[1]Sheet1!$A$1:$K$85,3,0)</f>
        <v>3</v>
      </c>
      <c r="N131" s="22">
        <f>VLOOKUP(C131,[1]Sheet1!$A$1:$AH$85,34,0)</f>
        <v>0</v>
      </c>
      <c r="O131" s="22" t="str">
        <f>MID(VLOOKUP(C131,[1]Sheet1!$A$1:$AH$85,12,0),2,1)</f>
        <v>3</v>
      </c>
      <c r="P131" s="22" t="str">
        <f>MID(VLOOKUP(C131,[1]Sheet1!$A$1:$AH$85,12,0),4,1)</f>
        <v/>
      </c>
      <c r="Q131" s="22" t="str">
        <f>MID(VLOOKUP(C131,[1]Sheet1!$A$1:$AH$85,12,0),6,1)</f>
        <v/>
      </c>
      <c r="R131" s="22" t="str">
        <f>MID(VLOOKUP(C131,[1]Sheet1!$A$1:$AH$85,12,0),8,1)</f>
        <v/>
      </c>
      <c r="T131" s="23" t="s">
        <v>87</v>
      </c>
    </row>
    <row r="132" spans="1:20">
      <c r="A132" s="40">
        <v>103016</v>
      </c>
      <c r="B132" s="27">
        <v>103016</v>
      </c>
      <c r="C132" s="19">
        <v>3016</v>
      </c>
      <c r="D132" s="19">
        <v>1</v>
      </c>
      <c r="E132" s="19">
        <v>51332</v>
      </c>
      <c r="F132" s="20" t="s">
        <v>88</v>
      </c>
      <c r="J132" s="26" t="s">
        <v>161</v>
      </c>
      <c r="K132" s="18" t="s">
        <v>162</v>
      </c>
      <c r="L132" s="22">
        <f>VLOOKUP(C132,[1]Sheet1!$A$1:$K$85,11,0)</f>
        <v>2</v>
      </c>
      <c r="M132" s="22">
        <f>VLOOKUP(C132,[1]Sheet1!$A$1:$K$85,3,0)</f>
        <v>3</v>
      </c>
      <c r="N132" s="22">
        <f>VLOOKUP(C132,[1]Sheet1!$A$1:$AH$85,34,0)</f>
        <v>0</v>
      </c>
      <c r="O132" s="22" t="str">
        <f>MID(VLOOKUP(C132,[1]Sheet1!$A$1:$AH$85,12,0),2,1)</f>
        <v>1</v>
      </c>
      <c r="P132" s="22" t="str">
        <f>MID(VLOOKUP(C132,[1]Sheet1!$A$1:$AH$85,12,0),4,1)</f>
        <v>2</v>
      </c>
      <c r="Q132" s="22" t="str">
        <f>MID(VLOOKUP(C132,[1]Sheet1!$A$1:$AH$85,12,0),6,1)</f>
        <v/>
      </c>
      <c r="R132" s="22" t="str">
        <f>MID(VLOOKUP(C132,[1]Sheet1!$A$1:$AH$85,12,0),8,1)</f>
        <v/>
      </c>
      <c r="T132" s="23" t="s">
        <v>91</v>
      </c>
    </row>
    <row r="133" spans="1:20">
      <c r="A133" s="40">
        <v>103017</v>
      </c>
      <c r="B133" s="27">
        <v>103017</v>
      </c>
      <c r="C133" s="19">
        <v>3017</v>
      </c>
      <c r="D133" s="19">
        <v>1</v>
      </c>
      <c r="E133" s="19">
        <v>53380</v>
      </c>
      <c r="F133" s="20" t="s">
        <v>80</v>
      </c>
      <c r="J133" s="26" t="s">
        <v>163</v>
      </c>
      <c r="K133" s="18" t="s">
        <v>162</v>
      </c>
      <c r="L133" s="22">
        <f>VLOOKUP(C133,[1]Sheet1!$A$1:$K$85,11,0)</f>
        <v>2</v>
      </c>
      <c r="M133" s="22">
        <f>VLOOKUP(C133,[1]Sheet1!$A$1:$K$85,3,0)</f>
        <v>3</v>
      </c>
      <c r="N133" s="22">
        <f>VLOOKUP(C133,[1]Sheet1!$A$1:$AH$85,34,0)</f>
        <v>0</v>
      </c>
      <c r="O133" s="22" t="str">
        <f>MID(VLOOKUP(C133,[1]Sheet1!$A$1:$AH$85,12,0),2,1)</f>
        <v>1</v>
      </c>
      <c r="P133" s="22" t="str">
        <f>MID(VLOOKUP(C133,[1]Sheet1!$A$1:$AH$85,12,0),4,1)</f>
        <v>2</v>
      </c>
      <c r="Q133" s="22" t="str">
        <f>MID(VLOOKUP(C133,[1]Sheet1!$A$1:$AH$85,12,0),6,1)</f>
        <v/>
      </c>
      <c r="R133" s="22" t="str">
        <f>MID(VLOOKUP(C133,[1]Sheet1!$A$1:$AH$85,12,0),8,1)</f>
        <v/>
      </c>
      <c r="T133" s="23" t="s">
        <v>164</v>
      </c>
    </row>
    <row r="134" spans="1:20">
      <c r="A134" s="40">
        <v>103018</v>
      </c>
      <c r="B134" s="27">
        <v>103018</v>
      </c>
      <c r="C134" s="19">
        <v>3018</v>
      </c>
      <c r="D134" s="19">
        <v>1</v>
      </c>
      <c r="E134" s="19">
        <v>18704</v>
      </c>
      <c r="F134" s="20" t="s">
        <v>165</v>
      </c>
      <c r="J134" s="26" t="s">
        <v>166</v>
      </c>
      <c r="K134" s="18" t="s">
        <v>167</v>
      </c>
      <c r="L134" s="22">
        <f>VLOOKUP(C134,[1]Sheet1!$A$1:$K$85,11,0)</f>
        <v>4</v>
      </c>
      <c r="M134" s="22">
        <f>VLOOKUP(C134,[1]Sheet1!$A$1:$K$85,3,0)</f>
        <v>4</v>
      </c>
      <c r="N134" s="22">
        <f>VLOOKUP(C134,[1]Sheet1!$A$1:$AH$85,34,0)</f>
        <v>0</v>
      </c>
      <c r="O134" s="22" t="str">
        <f>MID(VLOOKUP(C134,[1]Sheet1!$A$1:$AH$85,12,0),2,1)</f>
        <v>1</v>
      </c>
      <c r="P134" s="22" t="str">
        <f>MID(VLOOKUP(C134,[1]Sheet1!$A$1:$AH$85,12,0),4,1)</f>
        <v/>
      </c>
      <c r="Q134" s="22" t="str">
        <f>MID(VLOOKUP(C134,[1]Sheet1!$A$1:$AH$85,12,0),6,1)</f>
        <v/>
      </c>
      <c r="R134" s="22" t="str">
        <f>MID(VLOOKUP(C134,[1]Sheet1!$A$1:$AH$85,12,0),8,1)</f>
        <v/>
      </c>
      <c r="T134" s="23" t="s">
        <v>168</v>
      </c>
    </row>
    <row r="135" spans="1:20">
      <c r="A135" s="40">
        <v>103019</v>
      </c>
      <c r="B135" s="27">
        <v>103019</v>
      </c>
      <c r="C135" s="19">
        <v>3019</v>
      </c>
      <c r="D135" s="19">
        <v>1</v>
      </c>
      <c r="E135" s="19">
        <v>66692</v>
      </c>
      <c r="F135" s="20" t="s">
        <v>84</v>
      </c>
      <c r="J135" s="26" t="s">
        <v>169</v>
      </c>
      <c r="K135" s="18" t="s">
        <v>268</v>
      </c>
      <c r="L135" s="22">
        <f>VLOOKUP(C135,[1]Sheet1!$A$1:$K$85,11,0)</f>
        <v>2</v>
      </c>
      <c r="M135" s="22">
        <f>VLOOKUP(C135,[1]Sheet1!$A$1:$K$85,3,0)</f>
        <v>3</v>
      </c>
      <c r="N135" s="22">
        <f>VLOOKUP(C135,[1]Sheet1!$A$1:$AH$85,34,0)</f>
        <v>0</v>
      </c>
      <c r="O135" s="22" t="str">
        <f>MID(VLOOKUP(C135,[1]Sheet1!$A$1:$AH$85,12,0),2,1)</f>
        <v>3</v>
      </c>
      <c r="P135" s="22" t="str">
        <f>MID(VLOOKUP(C135,[1]Sheet1!$A$1:$AH$85,12,0),4,1)</f>
        <v/>
      </c>
      <c r="Q135" s="22" t="str">
        <f>MID(VLOOKUP(C135,[1]Sheet1!$A$1:$AH$85,12,0),6,1)</f>
        <v/>
      </c>
      <c r="R135" s="22" t="str">
        <f>MID(VLOOKUP(C135,[1]Sheet1!$A$1:$AH$85,12,0),8,1)</f>
        <v/>
      </c>
      <c r="T135" s="23" t="s">
        <v>94</v>
      </c>
    </row>
    <row r="136" spans="1:20">
      <c r="A136" s="40">
        <v>103021</v>
      </c>
      <c r="B136" s="27">
        <v>103021</v>
      </c>
      <c r="C136" s="19">
        <v>3021</v>
      </c>
      <c r="D136" s="19">
        <v>1</v>
      </c>
      <c r="E136" s="19">
        <v>1069192</v>
      </c>
      <c r="F136" s="20" t="s">
        <v>80</v>
      </c>
      <c r="J136" s="26" t="s">
        <v>171</v>
      </c>
      <c r="K136" s="18" t="s">
        <v>172</v>
      </c>
      <c r="L136" s="22">
        <f>VLOOKUP(C136,[1]Sheet1!$A$1:$K$85,11,0)</f>
        <v>3</v>
      </c>
      <c r="M136" s="22">
        <f>VLOOKUP(C136,[1]Sheet1!$A$1:$K$85,3,0)</f>
        <v>3</v>
      </c>
      <c r="N136" s="22">
        <f>VLOOKUP(C136,[1]Sheet1!$A$1:$AH$85,34,0)</f>
        <v>0</v>
      </c>
      <c r="O136" s="22" t="str">
        <f>MID(VLOOKUP(C136,[1]Sheet1!$A$1:$AH$85,12,0),2,1)</f>
        <v>1</v>
      </c>
      <c r="P136" s="22" t="str">
        <f>MID(VLOOKUP(C136,[1]Sheet1!$A$1:$AH$85,12,0),4,1)</f>
        <v>7</v>
      </c>
      <c r="Q136" s="22" t="str">
        <f>MID(VLOOKUP(C136,[1]Sheet1!$A$1:$AH$85,12,0),6,1)</f>
        <v/>
      </c>
      <c r="R136" s="22" t="str">
        <f>MID(VLOOKUP(C136,[1]Sheet1!$A$1:$AH$85,12,0),8,1)</f>
        <v/>
      </c>
      <c r="T136" s="23" t="s">
        <v>110</v>
      </c>
    </row>
    <row r="137" spans="1:20">
      <c r="A137" s="40">
        <v>104000</v>
      </c>
      <c r="B137" s="27">
        <v>104000</v>
      </c>
      <c r="C137" s="19">
        <v>4000</v>
      </c>
      <c r="D137" s="19">
        <v>1</v>
      </c>
      <c r="E137" s="19">
        <v>574600</v>
      </c>
      <c r="F137" s="20" t="s">
        <v>84</v>
      </c>
      <c r="J137" s="35" t="s">
        <v>173</v>
      </c>
      <c r="K137" s="18" t="s">
        <v>269</v>
      </c>
      <c r="L137" s="22">
        <f>VLOOKUP(C137,[1]Sheet1!$A$1:$K$85,11,0)</f>
        <v>3</v>
      </c>
      <c r="M137" s="22">
        <f>VLOOKUP(C137,[1]Sheet1!$A$1:$K$85,3,0)</f>
        <v>3</v>
      </c>
      <c r="N137" s="22">
        <f>VLOOKUP(C137,[1]Sheet1!$A$1:$AH$85,34,0)</f>
        <v>0</v>
      </c>
      <c r="O137" s="22" t="str">
        <f>MID(VLOOKUP(C137,[1]Sheet1!$A$1:$AH$85,12,0),2,1)</f>
        <v>1</v>
      </c>
      <c r="P137" s="22" t="str">
        <f>MID(VLOOKUP(C137,[1]Sheet1!$A$1:$AH$85,12,0),4,1)</f>
        <v>2</v>
      </c>
      <c r="Q137" s="22" t="str">
        <f>MID(VLOOKUP(C137,[1]Sheet1!$A$1:$AH$85,12,0),6,1)</f>
        <v/>
      </c>
      <c r="R137" s="22" t="str">
        <f>MID(VLOOKUP(C137,[1]Sheet1!$A$1:$AH$85,12,0),8,1)</f>
        <v/>
      </c>
      <c r="T137" s="23" t="s">
        <v>144</v>
      </c>
    </row>
    <row r="138" spans="1:20">
      <c r="A138" s="40">
        <v>104001</v>
      </c>
      <c r="B138" s="27">
        <v>104001</v>
      </c>
      <c r="C138" s="19">
        <v>4001</v>
      </c>
      <c r="D138" s="19">
        <v>1</v>
      </c>
      <c r="E138" s="19">
        <v>1069316</v>
      </c>
      <c r="F138" s="20" t="s">
        <v>175</v>
      </c>
      <c r="J138" s="35" t="s">
        <v>176</v>
      </c>
      <c r="K138" s="18" t="s">
        <v>270</v>
      </c>
      <c r="L138" s="22">
        <f>VLOOKUP(C138,[1]Sheet1!$A$1:$K$85,11,0)</f>
        <v>2</v>
      </c>
      <c r="M138" s="22">
        <f>VLOOKUP(C138,[1]Sheet1!$A$1:$K$85,3,0)</f>
        <v>4</v>
      </c>
      <c r="N138" s="22">
        <f>VLOOKUP(C138,[1]Sheet1!$A$1:$AH$85,34,0)</f>
        <v>0</v>
      </c>
      <c r="O138" s="22" t="str">
        <f>MID(VLOOKUP(C138,[1]Sheet1!$A$1:$AH$85,12,0),2,1)</f>
        <v>1</v>
      </c>
      <c r="P138" s="22" t="str">
        <f>MID(VLOOKUP(C138,[1]Sheet1!$A$1:$AH$85,12,0),4,1)</f>
        <v>7</v>
      </c>
      <c r="Q138" s="22" t="str">
        <f>MID(VLOOKUP(C138,[1]Sheet1!$A$1:$AH$85,12,0),6,1)</f>
        <v/>
      </c>
      <c r="R138" s="22" t="str">
        <f>MID(VLOOKUP(C138,[1]Sheet1!$A$1:$AH$85,12,0),8,1)</f>
        <v/>
      </c>
      <c r="T138" s="23" t="s">
        <v>178</v>
      </c>
    </row>
    <row r="139" spans="1:20">
      <c r="A139" s="40">
        <v>104002</v>
      </c>
      <c r="B139" s="27">
        <v>104002</v>
      </c>
      <c r="C139" s="19">
        <v>4002</v>
      </c>
      <c r="D139" s="19">
        <v>1</v>
      </c>
      <c r="E139" s="19">
        <v>1082512</v>
      </c>
      <c r="F139" s="20" t="s">
        <v>84</v>
      </c>
      <c r="J139" s="35" t="s">
        <v>179</v>
      </c>
      <c r="K139" s="18" t="s">
        <v>180</v>
      </c>
      <c r="L139" s="22">
        <f>VLOOKUP(C139,[1]Sheet1!$A$1:$K$85,11,0)</f>
        <v>4</v>
      </c>
      <c r="M139" s="22">
        <f>VLOOKUP(C139,[1]Sheet1!$A$1:$K$85,3,0)</f>
        <v>3</v>
      </c>
      <c r="N139" s="22">
        <f>VLOOKUP(C139,[1]Sheet1!$A$1:$AH$85,34,0)</f>
        <v>0</v>
      </c>
      <c r="O139" s="22" t="str">
        <f>MID(VLOOKUP(C139,[1]Sheet1!$A$1:$AH$85,12,0),2,1)</f>
        <v>2</v>
      </c>
      <c r="P139" s="22" t="str">
        <f>MID(VLOOKUP(C139,[1]Sheet1!$A$1:$AH$85,12,0),4,1)</f>
        <v>7</v>
      </c>
      <c r="Q139" s="22" t="str">
        <f>MID(VLOOKUP(C139,[1]Sheet1!$A$1:$AH$85,12,0),6,1)</f>
        <v/>
      </c>
      <c r="R139" s="22" t="str">
        <f>MID(VLOOKUP(C139,[1]Sheet1!$A$1:$AH$85,12,0),8,1)</f>
        <v/>
      </c>
      <c r="T139" s="23" t="s">
        <v>130</v>
      </c>
    </row>
    <row r="140" spans="1:20">
      <c r="A140" s="40">
        <v>104004</v>
      </c>
      <c r="B140" s="27">
        <v>104004</v>
      </c>
      <c r="C140" s="19">
        <v>4004</v>
      </c>
      <c r="D140" s="19">
        <v>1</v>
      </c>
      <c r="E140" s="19">
        <v>574608</v>
      </c>
      <c r="F140" s="20" t="s">
        <v>84</v>
      </c>
      <c r="J140" s="35" t="s">
        <v>181</v>
      </c>
      <c r="K140" s="18" t="s">
        <v>182</v>
      </c>
      <c r="L140" s="22">
        <f>VLOOKUP(C140,[1]Sheet1!$A$1:$K$85,11,0)</f>
        <v>4</v>
      </c>
      <c r="M140" s="22">
        <f>VLOOKUP(C140,[1]Sheet1!$A$1:$K$85,3,0)</f>
        <v>3</v>
      </c>
      <c r="N140" s="22">
        <f>VLOOKUP(C140,[1]Sheet1!$A$1:$AH$85,34,0)</f>
        <v>0</v>
      </c>
      <c r="O140" s="22" t="str">
        <f>MID(VLOOKUP(C140,[1]Sheet1!$A$1:$AH$85,12,0),2,1)</f>
        <v>1</v>
      </c>
      <c r="P140" s="22" t="str">
        <f>MID(VLOOKUP(C140,[1]Sheet1!$A$1:$AH$85,12,0),4,1)</f>
        <v>2</v>
      </c>
      <c r="Q140" s="22" t="str">
        <f>MID(VLOOKUP(C140,[1]Sheet1!$A$1:$AH$85,12,0),6,1)</f>
        <v/>
      </c>
      <c r="R140" s="22" t="str">
        <f>MID(VLOOKUP(C140,[1]Sheet1!$A$1:$AH$85,12,0),8,1)</f>
        <v/>
      </c>
      <c r="T140" s="23" t="s">
        <v>130</v>
      </c>
    </row>
    <row r="141" spans="1:20">
      <c r="A141" s="40">
        <v>104005</v>
      </c>
      <c r="B141" s="27">
        <v>104005</v>
      </c>
      <c r="C141" s="19">
        <v>4005</v>
      </c>
      <c r="D141" s="19">
        <v>1</v>
      </c>
      <c r="E141" s="19">
        <v>1100040</v>
      </c>
      <c r="F141" s="20" t="s">
        <v>165</v>
      </c>
      <c r="J141" s="41" t="s">
        <v>183</v>
      </c>
      <c r="K141" s="18" t="s">
        <v>184</v>
      </c>
      <c r="L141" s="22">
        <f>VLOOKUP(C141,[1]Sheet1!$A$1:$K$85,11,0)</f>
        <v>3</v>
      </c>
      <c r="M141" s="22">
        <f>VLOOKUP(C141,[1]Sheet1!$A$1:$K$85,3,0)</f>
        <v>4</v>
      </c>
      <c r="N141" s="22">
        <f>VLOOKUP(C141,[1]Sheet1!$A$1:$AH$85,34,0)</f>
        <v>0</v>
      </c>
      <c r="O141" s="22" t="str">
        <f>MID(VLOOKUP(C141,[1]Sheet1!$A$1:$AH$85,12,0),2,1)</f>
        <v>1</v>
      </c>
      <c r="P141" s="22" t="str">
        <f>MID(VLOOKUP(C141,[1]Sheet1!$A$1:$AH$85,12,0),4,1)</f>
        <v>2</v>
      </c>
      <c r="Q141" s="22" t="str">
        <f>MID(VLOOKUP(C141,[1]Sheet1!$A$1:$AH$85,12,0),6,1)</f>
        <v/>
      </c>
      <c r="R141" s="22" t="str">
        <f>MID(VLOOKUP(C141,[1]Sheet1!$A$1:$AH$85,12,0),8,1)</f>
        <v/>
      </c>
      <c r="T141" s="23" t="s">
        <v>185</v>
      </c>
    </row>
    <row r="142" spans="1:20">
      <c r="A142" s="40">
        <v>104006</v>
      </c>
      <c r="B142" s="27">
        <v>104006</v>
      </c>
      <c r="C142" s="19">
        <v>4006</v>
      </c>
      <c r="D142" s="19">
        <v>1</v>
      </c>
      <c r="E142" s="19">
        <v>1102088</v>
      </c>
      <c r="F142" s="20" t="s">
        <v>175</v>
      </c>
      <c r="J142" s="35" t="s">
        <v>186</v>
      </c>
      <c r="K142" s="18" t="s">
        <v>187</v>
      </c>
      <c r="L142" s="22">
        <f>VLOOKUP(C142,[1]Sheet1!$A$1:$K$85,11,0)</f>
        <v>3</v>
      </c>
      <c r="M142" s="22">
        <f>VLOOKUP(C142,[1]Sheet1!$A$1:$K$85,3,0)</f>
        <v>4</v>
      </c>
      <c r="N142" s="22">
        <f>VLOOKUP(C142,[1]Sheet1!$A$1:$AH$85,34,0)</f>
        <v>0</v>
      </c>
      <c r="O142" s="22" t="str">
        <f>MID(VLOOKUP(C142,[1]Sheet1!$A$1:$AH$85,12,0),2,1)</f>
        <v>1</v>
      </c>
      <c r="P142" s="22" t="str">
        <f>MID(VLOOKUP(C142,[1]Sheet1!$A$1:$AH$85,12,0),4,1)</f>
        <v>2</v>
      </c>
      <c r="Q142" s="22" t="str">
        <f>MID(VLOOKUP(C142,[1]Sheet1!$A$1:$AH$85,12,0),6,1)</f>
        <v/>
      </c>
      <c r="R142" s="22" t="str">
        <f>MID(VLOOKUP(C142,[1]Sheet1!$A$1:$AH$85,12,0),8,1)</f>
        <v/>
      </c>
      <c r="T142" s="23" t="s">
        <v>188</v>
      </c>
    </row>
    <row r="143" spans="1:20">
      <c r="A143" s="40">
        <v>104007</v>
      </c>
      <c r="B143" s="27">
        <v>104007</v>
      </c>
      <c r="C143" s="19">
        <v>4007</v>
      </c>
      <c r="D143" s="19">
        <v>1</v>
      </c>
      <c r="E143" s="19">
        <v>83080</v>
      </c>
      <c r="F143" s="20" t="s">
        <v>84</v>
      </c>
      <c r="J143" s="35" t="s">
        <v>189</v>
      </c>
      <c r="K143" s="18" t="s">
        <v>190</v>
      </c>
      <c r="L143" s="22">
        <f>VLOOKUP(C143,[1]Sheet1!$A$1:$K$85,11,0)</f>
        <v>3</v>
      </c>
      <c r="M143" s="22">
        <f>VLOOKUP(C143,[1]Sheet1!$A$1:$K$85,3,0)</f>
        <v>3</v>
      </c>
      <c r="N143" s="22">
        <f>VLOOKUP(C143,[1]Sheet1!$A$1:$AH$85,34,0)</f>
        <v>0</v>
      </c>
      <c r="O143" s="22" t="str">
        <f>MID(VLOOKUP(C143,[1]Sheet1!$A$1:$AH$85,12,0),2,1)</f>
        <v>3</v>
      </c>
      <c r="P143" s="22" t="str">
        <f>MID(VLOOKUP(C143,[1]Sheet1!$A$1:$AH$85,12,0),4,1)</f>
        <v>1</v>
      </c>
      <c r="Q143" s="22" t="str">
        <f>MID(VLOOKUP(C143,[1]Sheet1!$A$1:$AH$85,12,0),6,1)</f>
        <v/>
      </c>
      <c r="R143" s="22" t="str">
        <f>MID(VLOOKUP(C143,[1]Sheet1!$A$1:$AH$85,12,0),8,1)</f>
        <v/>
      </c>
      <c r="T143" s="23" t="s">
        <v>144</v>
      </c>
    </row>
    <row r="144" spans="1:20">
      <c r="A144" s="40">
        <v>104009</v>
      </c>
      <c r="B144" s="27">
        <v>104009</v>
      </c>
      <c r="C144" s="19">
        <v>4009</v>
      </c>
      <c r="D144" s="19">
        <v>1</v>
      </c>
      <c r="E144" s="19">
        <v>1626384</v>
      </c>
      <c r="F144" s="20" t="s">
        <v>175</v>
      </c>
      <c r="J144" s="35" t="s">
        <v>191</v>
      </c>
      <c r="K144" s="18" t="s">
        <v>192</v>
      </c>
      <c r="L144" s="22">
        <f>VLOOKUP(C144,[1]Sheet1!$A$1:$K$85,11,0)</f>
        <v>4</v>
      </c>
      <c r="M144" s="22">
        <f>VLOOKUP(C144,[1]Sheet1!$A$1:$K$85,3,0)</f>
        <v>4</v>
      </c>
      <c r="N144" s="22">
        <f>VLOOKUP(C144,[1]Sheet1!$A$1:$AH$85,34,0)</f>
        <v>0</v>
      </c>
      <c r="O144" s="22" t="str">
        <f>MID(VLOOKUP(C144,[1]Sheet1!$A$1:$AH$85,12,0),2,1)</f>
        <v>1</v>
      </c>
      <c r="P144" s="22" t="str">
        <f>MID(VLOOKUP(C144,[1]Sheet1!$A$1:$AH$85,12,0),4,1)</f>
        <v>6</v>
      </c>
      <c r="Q144" s="22" t="str">
        <f>MID(VLOOKUP(C144,[1]Sheet1!$A$1:$AH$85,12,0),6,1)</f>
        <v/>
      </c>
      <c r="R144" s="22" t="str">
        <f>MID(VLOOKUP(C144,[1]Sheet1!$A$1:$AH$85,12,0),8,1)</f>
        <v/>
      </c>
      <c r="T144" s="23" t="s">
        <v>193</v>
      </c>
    </row>
    <row r="145" spans="1:20">
      <c r="A145" s="40">
        <v>104012</v>
      </c>
      <c r="B145" s="27">
        <v>104012</v>
      </c>
      <c r="C145" s="19">
        <v>4012</v>
      </c>
      <c r="D145" s="19">
        <v>1</v>
      </c>
      <c r="E145" s="19">
        <v>1098376</v>
      </c>
      <c r="F145" s="20" t="s">
        <v>111</v>
      </c>
      <c r="J145" s="35" t="s">
        <v>194</v>
      </c>
      <c r="K145" s="18" t="s">
        <v>195</v>
      </c>
      <c r="L145" s="22">
        <f>VLOOKUP(C145,[1]Sheet1!$A$1:$K$85,11,0)</f>
        <v>3</v>
      </c>
      <c r="M145" s="22">
        <f>VLOOKUP(C145,[1]Sheet1!$A$1:$K$85,3,0)</f>
        <v>3</v>
      </c>
      <c r="N145" s="22">
        <f>VLOOKUP(C145,[1]Sheet1!$A$1:$AH$85,34,0)</f>
        <v>0</v>
      </c>
      <c r="O145" s="22" t="str">
        <f>MID(VLOOKUP(C145,[1]Sheet1!$A$1:$AH$85,12,0),2,1)</f>
        <v>1</v>
      </c>
      <c r="P145" s="22" t="str">
        <f>MID(VLOOKUP(C145,[1]Sheet1!$A$1:$AH$85,12,0),4,1)</f>
        <v>7</v>
      </c>
      <c r="Q145" s="22" t="str">
        <f>MID(VLOOKUP(C145,[1]Sheet1!$A$1:$AH$85,12,0),6,1)</f>
        <v/>
      </c>
      <c r="R145" s="22" t="str">
        <f>MID(VLOOKUP(C145,[1]Sheet1!$A$1:$AH$85,12,0),8,1)</f>
        <v/>
      </c>
      <c r="T145" s="23" t="s">
        <v>136</v>
      </c>
    </row>
    <row r="146" spans="1:20">
      <c r="A146" s="40">
        <v>104014</v>
      </c>
      <c r="B146" s="27">
        <v>104014</v>
      </c>
      <c r="C146" s="19">
        <v>4014</v>
      </c>
      <c r="D146" s="19">
        <v>1</v>
      </c>
      <c r="E146" s="19">
        <v>1376900</v>
      </c>
      <c r="F146" s="20" t="s">
        <v>111</v>
      </c>
      <c r="J146" s="35" t="s">
        <v>196</v>
      </c>
      <c r="K146" s="18" t="s">
        <v>197</v>
      </c>
      <c r="L146" s="22">
        <f>VLOOKUP(C146,[1]Sheet1!$A$1:$K$85,11,0)</f>
        <v>2</v>
      </c>
      <c r="M146" s="22">
        <f>VLOOKUP(C146,[1]Sheet1!$A$1:$K$85,3,0)</f>
        <v>3</v>
      </c>
      <c r="N146" s="22">
        <f>VLOOKUP(C146,[1]Sheet1!$A$1:$AH$85,34,0)</f>
        <v>0</v>
      </c>
      <c r="O146" s="22" t="str">
        <f>MID(VLOOKUP(C146,[1]Sheet1!$A$1:$AH$85,12,0),2,1)</f>
        <v>3</v>
      </c>
      <c r="P146" s="22" t="str">
        <f>MID(VLOOKUP(C146,[1]Sheet1!$A$1:$AH$85,12,0),4,1)</f>
        <v>5</v>
      </c>
      <c r="Q146" s="22" t="str">
        <f>MID(VLOOKUP(C146,[1]Sheet1!$A$1:$AH$85,12,0),6,1)</f>
        <v/>
      </c>
      <c r="R146" s="22" t="str">
        <f>MID(VLOOKUP(C146,[1]Sheet1!$A$1:$AH$85,12,0),8,1)</f>
        <v/>
      </c>
      <c r="T146" s="23" t="s">
        <v>114</v>
      </c>
    </row>
    <row r="147" spans="1:20">
      <c r="A147" s="40">
        <v>104015</v>
      </c>
      <c r="B147" s="27">
        <v>104015</v>
      </c>
      <c r="C147" s="19">
        <v>4015</v>
      </c>
      <c r="D147" s="19">
        <v>1</v>
      </c>
      <c r="E147" s="19">
        <v>577668</v>
      </c>
      <c r="F147" s="20" t="s">
        <v>80</v>
      </c>
      <c r="J147" s="35" t="s">
        <v>198</v>
      </c>
      <c r="K147" s="18" t="s">
        <v>199</v>
      </c>
      <c r="L147" s="22">
        <f>VLOOKUP(C147,[1]Sheet1!$A$1:$K$85,11,0)</f>
        <v>2</v>
      </c>
      <c r="M147" s="22">
        <f>VLOOKUP(C147,[1]Sheet1!$A$1:$K$85,3,0)</f>
        <v>3</v>
      </c>
      <c r="N147" s="22">
        <f>VLOOKUP(C147,[1]Sheet1!$A$1:$AH$85,34,0)</f>
        <v>0</v>
      </c>
      <c r="O147" s="22" t="str">
        <f>MID(VLOOKUP(C147,[1]Sheet1!$A$1:$AH$85,12,0),2,1)</f>
        <v>1</v>
      </c>
      <c r="P147" s="22" t="str">
        <f>MID(VLOOKUP(C147,[1]Sheet1!$A$1:$AH$85,12,0),4,1)</f>
        <v>6</v>
      </c>
      <c r="Q147" s="22" t="str">
        <f>MID(VLOOKUP(C147,[1]Sheet1!$A$1:$AH$85,12,0),6,1)</f>
        <v/>
      </c>
      <c r="R147" s="22" t="str">
        <f>MID(VLOOKUP(C147,[1]Sheet1!$A$1:$AH$85,12,0),8,1)</f>
        <v/>
      </c>
      <c r="T147" s="23" t="s">
        <v>164</v>
      </c>
    </row>
    <row r="148" spans="1:20">
      <c r="A148" s="40">
        <v>104016</v>
      </c>
      <c r="B148" s="27">
        <v>104016</v>
      </c>
      <c r="C148" s="19">
        <v>4016</v>
      </c>
      <c r="D148" s="19">
        <v>1</v>
      </c>
      <c r="E148" s="19">
        <v>115344</v>
      </c>
      <c r="F148" s="20" t="s">
        <v>111</v>
      </c>
      <c r="J148" s="35" t="s">
        <v>200</v>
      </c>
      <c r="K148" s="18" t="s">
        <v>201</v>
      </c>
      <c r="L148" s="22">
        <f>VLOOKUP(C148,[1]Sheet1!$A$1:$K$85,11,0)</f>
        <v>4</v>
      </c>
      <c r="M148" s="22">
        <f>VLOOKUP(C148,[1]Sheet1!$A$1:$K$85,3,0)</f>
        <v>3</v>
      </c>
      <c r="N148" s="22">
        <f>VLOOKUP(C148,[1]Sheet1!$A$1:$AH$85,34,0)</f>
        <v>0</v>
      </c>
      <c r="O148" s="22" t="str">
        <f>MID(VLOOKUP(C148,[1]Sheet1!$A$1:$AH$85,12,0),2,1)</f>
        <v>1</v>
      </c>
      <c r="P148" s="22" t="str">
        <f>MID(VLOOKUP(C148,[1]Sheet1!$A$1:$AH$85,12,0),4,1)</f>
        <v>3</v>
      </c>
      <c r="Q148" s="22" t="str">
        <f>MID(VLOOKUP(C148,[1]Sheet1!$A$1:$AH$85,12,0),6,1)</f>
        <v/>
      </c>
      <c r="R148" s="22" t="str">
        <f>MID(VLOOKUP(C148,[1]Sheet1!$A$1:$AH$85,12,0),8,1)</f>
        <v/>
      </c>
      <c r="T148" s="23" t="s">
        <v>133</v>
      </c>
    </row>
    <row r="149" spans="1:20">
      <c r="A149" s="40">
        <v>104017</v>
      </c>
      <c r="B149" s="27">
        <v>104017</v>
      </c>
      <c r="C149" s="19">
        <v>4017</v>
      </c>
      <c r="D149" s="19">
        <v>1</v>
      </c>
      <c r="E149" s="19">
        <v>53506</v>
      </c>
      <c r="F149" s="20" t="s">
        <v>175</v>
      </c>
      <c r="J149" s="35" t="s">
        <v>202</v>
      </c>
      <c r="K149" s="18" t="s">
        <v>162</v>
      </c>
      <c r="L149" s="22">
        <f>VLOOKUP(C149,[1]Sheet1!$A$1:$K$85,11,0)</f>
        <v>1</v>
      </c>
      <c r="M149" s="22">
        <f>VLOOKUP(C149,[1]Sheet1!$A$1:$K$85,3,0)</f>
        <v>4</v>
      </c>
      <c r="N149" s="22">
        <f>VLOOKUP(C149,[1]Sheet1!$A$1:$AH$85,34,0)</f>
        <v>0</v>
      </c>
      <c r="O149" s="22" t="str">
        <f>MID(VLOOKUP(C149,[1]Sheet1!$A$1:$AH$85,12,0),2,1)</f>
        <v>1</v>
      </c>
      <c r="P149" s="22" t="str">
        <f>MID(VLOOKUP(C149,[1]Sheet1!$A$1:$AH$85,12,0),4,1)</f>
        <v>2</v>
      </c>
      <c r="Q149" s="22" t="str">
        <f>MID(VLOOKUP(C149,[1]Sheet1!$A$1:$AH$85,12,0),6,1)</f>
        <v/>
      </c>
      <c r="R149" s="22" t="str">
        <f>MID(VLOOKUP(C149,[1]Sheet1!$A$1:$AH$85,12,0),8,1)</f>
        <v/>
      </c>
      <c r="T149" s="23" t="s">
        <v>203</v>
      </c>
    </row>
    <row r="150" spans="1:20">
      <c r="A150" s="40">
        <v>104018</v>
      </c>
      <c r="B150" s="27">
        <v>104018</v>
      </c>
      <c r="C150" s="19">
        <v>4018</v>
      </c>
      <c r="D150" s="19">
        <v>1</v>
      </c>
      <c r="E150" s="19">
        <v>1589896</v>
      </c>
      <c r="F150" s="20" t="s">
        <v>111</v>
      </c>
      <c r="J150" s="35" t="s">
        <v>204</v>
      </c>
      <c r="K150" s="18" t="s">
        <v>205</v>
      </c>
      <c r="L150" s="22">
        <f>VLOOKUP(C150,[1]Sheet1!$A$1:$K$85,11,0)</f>
        <v>3</v>
      </c>
      <c r="M150" s="22">
        <f>VLOOKUP(C150,[1]Sheet1!$A$1:$K$85,3,0)</f>
        <v>3</v>
      </c>
      <c r="N150" s="22">
        <f>VLOOKUP(C150,[1]Sheet1!$A$1:$AH$85,34,0)</f>
        <v>0</v>
      </c>
      <c r="O150" s="22" t="str">
        <f>MID(VLOOKUP(C150,[1]Sheet1!$A$1:$AH$85,12,0),2,1)</f>
        <v>1</v>
      </c>
      <c r="P150" s="22" t="str">
        <f>MID(VLOOKUP(C150,[1]Sheet1!$A$1:$AH$85,12,0),4,1)</f>
        <v>6</v>
      </c>
      <c r="Q150" s="22" t="str">
        <f>MID(VLOOKUP(C150,[1]Sheet1!$A$1:$AH$85,12,0),6,1)</f>
        <v/>
      </c>
      <c r="R150" s="22" t="str">
        <f>MID(VLOOKUP(C150,[1]Sheet1!$A$1:$AH$85,12,0),8,1)</f>
        <v/>
      </c>
      <c r="T150" s="23" t="s">
        <v>136</v>
      </c>
    </row>
    <row r="151" spans="1:20">
      <c r="A151" s="40">
        <v>104019</v>
      </c>
      <c r="B151" s="27">
        <v>104019</v>
      </c>
      <c r="C151" s="19">
        <v>4019</v>
      </c>
      <c r="D151" s="19">
        <v>1</v>
      </c>
      <c r="E151" s="19">
        <v>41104</v>
      </c>
      <c r="F151" s="20" t="s">
        <v>206</v>
      </c>
      <c r="J151" s="35" t="s">
        <v>207</v>
      </c>
      <c r="K151" s="18" t="s">
        <v>208</v>
      </c>
      <c r="L151" s="22">
        <f>VLOOKUP(C151,[1]Sheet1!$A$1:$K$85,11,0)</f>
        <v>4</v>
      </c>
      <c r="M151" s="22">
        <f>VLOOKUP(C151,[1]Sheet1!$A$1:$K$85,3,0)</f>
        <v>3</v>
      </c>
      <c r="N151" s="22">
        <f>VLOOKUP(C151,[1]Sheet1!$A$1:$AH$85,34,0)</f>
        <v>0</v>
      </c>
      <c r="O151" s="22" t="str">
        <f>MID(VLOOKUP(C151,[1]Sheet1!$A$1:$AH$85,12,0),2,1)</f>
        <v>2</v>
      </c>
      <c r="P151" s="22" t="str">
        <f>MID(VLOOKUP(C151,[1]Sheet1!$A$1:$AH$85,12,0),4,1)</f>
        <v/>
      </c>
      <c r="Q151" s="22" t="str">
        <f>MID(VLOOKUP(C151,[1]Sheet1!$A$1:$AH$85,12,0),6,1)</f>
        <v/>
      </c>
      <c r="R151" s="22" t="str">
        <f>MID(VLOOKUP(C151,[1]Sheet1!$A$1:$AH$85,12,0),8,1)</f>
        <v/>
      </c>
      <c r="T151" s="23" t="s">
        <v>209</v>
      </c>
    </row>
    <row r="152" spans="1:20">
      <c r="A152" s="40">
        <v>104021</v>
      </c>
      <c r="B152" s="27">
        <v>104021</v>
      </c>
      <c r="C152" s="19">
        <v>4021</v>
      </c>
      <c r="D152" s="19">
        <v>1</v>
      </c>
      <c r="E152" s="19">
        <v>575624</v>
      </c>
      <c r="F152" s="20" t="s">
        <v>88</v>
      </c>
      <c r="J152" s="35" t="s">
        <v>210</v>
      </c>
      <c r="K152" s="18" t="s">
        <v>211</v>
      </c>
      <c r="L152" s="22">
        <f>VLOOKUP(C152,[1]Sheet1!$A$1:$K$85,11,0)</f>
        <v>3</v>
      </c>
      <c r="M152" s="22">
        <f>VLOOKUP(C152,[1]Sheet1!$A$1:$K$85,3,0)</f>
        <v>3</v>
      </c>
      <c r="N152" s="22">
        <f>VLOOKUP(C152,[1]Sheet1!$A$1:$AH$85,34,0)</f>
        <v>0</v>
      </c>
      <c r="O152" s="22" t="str">
        <f>MID(VLOOKUP(C152,[1]Sheet1!$A$1:$AH$85,12,0),2,1)</f>
        <v>1</v>
      </c>
      <c r="P152" s="22" t="str">
        <f>MID(VLOOKUP(C152,[1]Sheet1!$A$1:$AH$85,12,0),4,1)</f>
        <v>6</v>
      </c>
      <c r="Q152" s="22" t="str">
        <f>MID(VLOOKUP(C152,[1]Sheet1!$A$1:$AH$85,12,0),6,1)</f>
        <v/>
      </c>
      <c r="R152" s="22" t="str">
        <f>MID(VLOOKUP(C152,[1]Sheet1!$A$1:$AH$85,12,0),8,1)</f>
        <v/>
      </c>
      <c r="T152" s="23" t="s">
        <v>212</v>
      </c>
    </row>
    <row r="153" spans="1:20">
      <c r="A153" s="40">
        <v>104022</v>
      </c>
      <c r="B153" s="27">
        <v>104022</v>
      </c>
      <c r="C153" s="19">
        <v>4022</v>
      </c>
      <c r="D153" s="19">
        <v>1</v>
      </c>
      <c r="E153" s="19">
        <v>1328388</v>
      </c>
      <c r="F153" s="20" t="s">
        <v>153</v>
      </c>
      <c r="J153" s="35" t="s">
        <v>213</v>
      </c>
      <c r="K153" s="18" t="s">
        <v>214</v>
      </c>
      <c r="L153" s="22">
        <f>VLOOKUP(C153,[1]Sheet1!$A$1:$K$85,11,0)</f>
        <v>2</v>
      </c>
      <c r="M153" s="22">
        <f>VLOOKUP(C153,[1]Sheet1!$A$1:$K$85,3,0)</f>
        <v>4</v>
      </c>
      <c r="N153" s="22">
        <f>VLOOKUP(C153,[1]Sheet1!$A$1:$AH$85,34,0)</f>
        <v>0</v>
      </c>
      <c r="O153" s="22" t="str">
        <f>MID(VLOOKUP(C153,[1]Sheet1!$A$1:$AH$85,12,0),2,1)</f>
        <v>1</v>
      </c>
      <c r="P153" s="22" t="str">
        <f>MID(VLOOKUP(C153,[1]Sheet1!$A$1:$AH$85,12,0),4,1)</f>
        <v>5</v>
      </c>
      <c r="Q153" s="22" t="str">
        <f>MID(VLOOKUP(C153,[1]Sheet1!$A$1:$AH$85,12,0),6,1)</f>
        <v/>
      </c>
      <c r="R153" s="22" t="str">
        <f>MID(VLOOKUP(C153,[1]Sheet1!$A$1:$AH$85,12,0),8,1)</f>
        <v/>
      </c>
      <c r="T153" s="23" t="s">
        <v>156</v>
      </c>
    </row>
    <row r="154" spans="1:20">
      <c r="A154" s="40">
        <v>104023</v>
      </c>
      <c r="B154" s="27">
        <v>104023</v>
      </c>
      <c r="C154" s="19">
        <v>4023</v>
      </c>
      <c r="D154" s="19">
        <v>1</v>
      </c>
      <c r="E154" s="19">
        <v>542864</v>
      </c>
      <c r="F154" s="20" t="s">
        <v>88</v>
      </c>
      <c r="J154" s="35" t="s">
        <v>215</v>
      </c>
      <c r="K154" s="18" t="s">
        <v>216</v>
      </c>
      <c r="L154" s="22">
        <f>VLOOKUP(C154,[1]Sheet1!$A$1:$K$85,11,0)</f>
        <v>4</v>
      </c>
      <c r="M154" s="22">
        <f>VLOOKUP(C154,[1]Sheet1!$A$1:$K$85,3,0)</f>
        <v>3</v>
      </c>
      <c r="N154" s="22">
        <f>VLOOKUP(C154,[1]Sheet1!$A$1:$AH$85,34,0)</f>
        <v>0</v>
      </c>
      <c r="O154" s="22" t="str">
        <f>MID(VLOOKUP(C154,[1]Sheet1!$A$1:$AH$85,12,0),2,1)</f>
        <v>1</v>
      </c>
      <c r="P154" s="22" t="str">
        <f>MID(VLOOKUP(C154,[1]Sheet1!$A$1:$AH$85,12,0),4,1)</f>
        <v>6</v>
      </c>
      <c r="Q154" s="22" t="str">
        <f>MID(VLOOKUP(C154,[1]Sheet1!$A$1:$AH$85,12,0),6,1)</f>
        <v/>
      </c>
      <c r="R154" s="22" t="str">
        <f>MID(VLOOKUP(C154,[1]Sheet1!$A$1:$AH$85,12,0),8,1)</f>
        <v/>
      </c>
      <c r="T154" s="23" t="s">
        <v>217</v>
      </c>
    </row>
    <row r="155" spans="1:20">
      <c r="A155" s="40">
        <v>104024</v>
      </c>
      <c r="B155" s="27">
        <v>104024</v>
      </c>
      <c r="C155" s="19">
        <v>4024</v>
      </c>
      <c r="D155" s="19">
        <v>1</v>
      </c>
      <c r="E155" s="19">
        <v>1098512</v>
      </c>
      <c r="F155" s="20" t="s">
        <v>218</v>
      </c>
      <c r="J155" s="41" t="s">
        <v>219</v>
      </c>
      <c r="K155" s="18" t="s">
        <v>220</v>
      </c>
      <c r="L155" s="22">
        <f>VLOOKUP(C155,[1]Sheet1!$A$1:$K$85,11,0)</f>
        <v>4</v>
      </c>
      <c r="M155" s="22">
        <f>VLOOKUP(C155,[1]Sheet1!$A$1:$K$85,3,0)</f>
        <v>4</v>
      </c>
      <c r="N155" s="22">
        <f>VLOOKUP(C155,[1]Sheet1!$A$1:$AH$85,34,0)</f>
        <v>0</v>
      </c>
      <c r="O155" s="22" t="str">
        <f>MID(VLOOKUP(C155,[1]Sheet1!$A$1:$AH$85,12,0),2,1)</f>
        <v>1</v>
      </c>
      <c r="P155" s="22" t="str">
        <f>MID(VLOOKUP(C155,[1]Sheet1!$A$1:$AH$85,12,0),4,1)</f>
        <v>2</v>
      </c>
      <c r="Q155" s="22" t="str">
        <f>MID(VLOOKUP(C155,[1]Sheet1!$A$1:$AH$85,12,0),6,1)</f>
        <v/>
      </c>
      <c r="R155" s="22" t="str">
        <f>MID(VLOOKUP(C155,[1]Sheet1!$A$1:$AH$85,12,0),8,1)</f>
        <v/>
      </c>
      <c r="T155" s="23" t="s">
        <v>221</v>
      </c>
    </row>
    <row r="156" spans="1:20">
      <c r="A156" s="40">
        <v>104025</v>
      </c>
      <c r="B156" s="27">
        <v>104025</v>
      </c>
      <c r="C156" s="19">
        <v>4025</v>
      </c>
      <c r="D156" s="19">
        <v>1</v>
      </c>
      <c r="E156" s="19">
        <v>1098504</v>
      </c>
      <c r="F156" s="20" t="s">
        <v>218</v>
      </c>
      <c r="J156" s="35" t="s">
        <v>222</v>
      </c>
      <c r="K156" s="18" t="s">
        <v>223</v>
      </c>
      <c r="L156" s="22">
        <f>VLOOKUP(C156,[1]Sheet1!$A$1:$K$85,11,0)</f>
        <v>3</v>
      </c>
      <c r="M156" s="22">
        <f>VLOOKUP(C156,[1]Sheet1!$A$1:$K$85,3,0)</f>
        <v>4</v>
      </c>
      <c r="N156" s="22">
        <f>VLOOKUP(C156,[1]Sheet1!$A$1:$AH$85,34,0)</f>
        <v>0</v>
      </c>
      <c r="O156" s="22" t="str">
        <f>MID(VLOOKUP(C156,[1]Sheet1!$A$1:$AH$85,12,0),2,1)</f>
        <v>1</v>
      </c>
      <c r="P156" s="22" t="str">
        <f>MID(VLOOKUP(C156,[1]Sheet1!$A$1:$AH$85,12,0),4,1)</f>
        <v>7</v>
      </c>
      <c r="Q156" s="22" t="str">
        <f>MID(VLOOKUP(C156,[1]Sheet1!$A$1:$AH$85,12,0),6,1)</f>
        <v/>
      </c>
      <c r="R156" s="22" t="str">
        <f>MID(VLOOKUP(C156,[1]Sheet1!$A$1:$AH$85,12,0),8,1)</f>
        <v/>
      </c>
      <c r="T156" s="23" t="s">
        <v>224</v>
      </c>
    </row>
    <row r="157" spans="1:20">
      <c r="A157" s="40">
        <v>104026</v>
      </c>
      <c r="B157" s="27">
        <v>104026</v>
      </c>
      <c r="C157" s="19">
        <v>4026</v>
      </c>
      <c r="D157" s="19">
        <v>1</v>
      </c>
      <c r="E157" s="19">
        <v>41224</v>
      </c>
      <c r="F157" s="20" t="s">
        <v>225</v>
      </c>
      <c r="J157" s="35" t="s">
        <v>226</v>
      </c>
      <c r="K157" s="18" t="s">
        <v>208</v>
      </c>
      <c r="L157" s="22">
        <f>VLOOKUP(C157,[1]Sheet1!$A$1:$K$85,11,0)</f>
        <v>3</v>
      </c>
      <c r="M157" s="22">
        <f>VLOOKUP(C157,[1]Sheet1!$A$1:$K$85,3,0)</f>
        <v>4</v>
      </c>
      <c r="N157" s="22">
        <f>VLOOKUP(C157,[1]Sheet1!$A$1:$AH$85,34,0)</f>
        <v>0</v>
      </c>
      <c r="O157" s="22" t="str">
        <f>MID(VLOOKUP(C157,[1]Sheet1!$A$1:$AH$85,12,0),2,1)</f>
        <v>2</v>
      </c>
      <c r="P157" s="22" t="str">
        <f>MID(VLOOKUP(C157,[1]Sheet1!$A$1:$AH$85,12,0),4,1)</f>
        <v/>
      </c>
      <c r="Q157" s="22" t="str">
        <f>MID(VLOOKUP(C157,[1]Sheet1!$A$1:$AH$85,12,0),6,1)</f>
        <v/>
      </c>
      <c r="R157" s="22" t="str">
        <f>MID(VLOOKUP(C157,[1]Sheet1!$A$1:$AH$85,12,0),8,1)</f>
        <v/>
      </c>
      <c r="T157" s="23" t="s">
        <v>227</v>
      </c>
    </row>
    <row r="158" spans="1:20">
      <c r="A158" s="40">
        <v>104027</v>
      </c>
      <c r="B158" s="27">
        <v>104027</v>
      </c>
      <c r="C158" s="19">
        <v>4027</v>
      </c>
      <c r="D158" s="19">
        <v>1</v>
      </c>
      <c r="E158" s="19">
        <v>1115408</v>
      </c>
      <c r="F158" s="20" t="s">
        <v>153</v>
      </c>
      <c r="J158" s="41" t="s">
        <v>228</v>
      </c>
      <c r="K158" s="18" t="s">
        <v>229</v>
      </c>
      <c r="L158" s="22">
        <f>VLOOKUP(C158,[1]Sheet1!$A$1:$K$85,11,0)</f>
        <v>4</v>
      </c>
      <c r="M158" s="22">
        <f>VLOOKUP(C158,[1]Sheet1!$A$1:$K$85,3,0)</f>
        <v>4</v>
      </c>
      <c r="N158" s="22">
        <f>VLOOKUP(C158,[1]Sheet1!$A$1:$AH$85,34,0)</f>
        <v>0</v>
      </c>
      <c r="O158" s="22" t="str">
        <f>MID(VLOOKUP(C158,[1]Sheet1!$A$1:$AH$85,12,0),2,1)</f>
        <v>3</v>
      </c>
      <c r="P158" s="22" t="str">
        <f>MID(VLOOKUP(C158,[1]Sheet1!$A$1:$AH$85,12,0),4,1)</f>
        <v>7</v>
      </c>
      <c r="Q158" s="22" t="str">
        <f>MID(VLOOKUP(C158,[1]Sheet1!$A$1:$AH$85,12,0),6,1)</f>
        <v/>
      </c>
      <c r="R158" s="22" t="str">
        <f>MID(VLOOKUP(C158,[1]Sheet1!$A$1:$AH$85,12,0),8,1)</f>
        <v/>
      </c>
      <c r="T158" s="23" t="s">
        <v>230</v>
      </c>
    </row>
    <row r="159" spans="1:20">
      <c r="A159" s="40">
        <v>104028</v>
      </c>
      <c r="B159" s="27">
        <v>104028</v>
      </c>
      <c r="C159" s="19">
        <v>4028</v>
      </c>
      <c r="D159" s="19">
        <v>1</v>
      </c>
      <c r="E159" s="19">
        <v>1066242</v>
      </c>
      <c r="F159" s="20" t="s">
        <v>153</v>
      </c>
      <c r="J159" s="35" t="s">
        <v>231</v>
      </c>
      <c r="K159" s="18" t="s">
        <v>232</v>
      </c>
      <c r="L159" s="22">
        <f>VLOOKUP(C159,[1]Sheet1!$A$1:$K$85,11,0)</f>
        <v>1</v>
      </c>
      <c r="M159" s="22">
        <f>VLOOKUP(C159,[1]Sheet1!$A$1:$K$85,3,0)</f>
        <v>4</v>
      </c>
      <c r="N159" s="22">
        <f>VLOOKUP(C159,[1]Sheet1!$A$1:$AH$85,34,0)</f>
        <v>0</v>
      </c>
      <c r="O159" s="22" t="str">
        <f>MID(VLOOKUP(C159,[1]Sheet1!$A$1:$AH$85,12,0),2,1)</f>
        <v>1</v>
      </c>
      <c r="P159" s="22" t="str">
        <f>MID(VLOOKUP(C159,[1]Sheet1!$A$1:$AH$85,12,0),4,1)</f>
        <v>7</v>
      </c>
      <c r="Q159" s="22" t="str">
        <f>MID(VLOOKUP(C159,[1]Sheet1!$A$1:$AH$85,12,0),6,1)</f>
        <v/>
      </c>
      <c r="R159" s="22" t="str">
        <f>MID(VLOOKUP(C159,[1]Sheet1!$A$1:$AH$85,12,0),8,1)</f>
        <v/>
      </c>
      <c r="T159" s="23" t="s">
        <v>233</v>
      </c>
    </row>
    <row r="160" spans="1:20">
      <c r="A160" s="40">
        <v>104030</v>
      </c>
      <c r="B160" s="27">
        <v>104030</v>
      </c>
      <c r="C160" s="19">
        <v>4030</v>
      </c>
      <c r="D160" s="19">
        <v>1</v>
      </c>
      <c r="E160" s="19">
        <v>53520</v>
      </c>
      <c r="F160" s="20" t="s">
        <v>175</v>
      </c>
      <c r="J160" s="35" t="s">
        <v>234</v>
      </c>
      <c r="K160" s="18" t="s">
        <v>235</v>
      </c>
      <c r="L160" s="22">
        <f>VLOOKUP(C160,[1]Sheet1!$A$1:$K$85,11,0)</f>
        <v>4</v>
      </c>
      <c r="M160" s="22">
        <f>VLOOKUP(C160,[1]Sheet1!$A$1:$K$85,3,0)</f>
        <v>4</v>
      </c>
      <c r="N160" s="22">
        <f>VLOOKUP(C160,[1]Sheet1!$A$1:$AH$85,34,0)</f>
        <v>0</v>
      </c>
      <c r="O160" s="22" t="str">
        <f>MID(VLOOKUP(C160,[1]Sheet1!$A$1:$AH$85,12,0),2,1)</f>
        <v>1</v>
      </c>
      <c r="P160" s="22" t="str">
        <f>MID(VLOOKUP(C160,[1]Sheet1!$A$1:$AH$85,12,0),4,1)</f>
        <v>2</v>
      </c>
      <c r="Q160" s="22" t="str">
        <f>MID(VLOOKUP(C160,[1]Sheet1!$A$1:$AH$85,12,0),6,1)</f>
        <v/>
      </c>
      <c r="R160" s="22" t="str">
        <f>MID(VLOOKUP(C160,[1]Sheet1!$A$1:$AH$85,12,0),8,1)</f>
        <v/>
      </c>
      <c r="T160" s="23" t="s">
        <v>193</v>
      </c>
    </row>
    <row r="161" spans="1:20">
      <c r="A161" s="40">
        <v>104031</v>
      </c>
      <c r="B161" s="27">
        <v>104031</v>
      </c>
      <c r="C161" s="19">
        <v>4031</v>
      </c>
      <c r="D161" s="19">
        <v>1</v>
      </c>
      <c r="E161" s="19">
        <v>1067266</v>
      </c>
      <c r="F161" s="20" t="s">
        <v>165</v>
      </c>
      <c r="J161" s="35" t="s">
        <v>236</v>
      </c>
      <c r="K161" s="18" t="s">
        <v>237</v>
      </c>
      <c r="L161" s="22">
        <f>VLOOKUP(C161,[1]Sheet1!$A$1:$K$85,11,0)</f>
        <v>1</v>
      </c>
      <c r="M161" s="22">
        <f>VLOOKUP(C161,[1]Sheet1!$A$1:$K$85,3,0)</f>
        <v>4</v>
      </c>
      <c r="N161" s="22">
        <f>VLOOKUP(C161,[1]Sheet1!$A$1:$AH$85,34,0)</f>
        <v>0</v>
      </c>
      <c r="O161" s="22" t="str">
        <f>MID(VLOOKUP(C161,[1]Sheet1!$A$1:$AH$85,12,0),2,1)</f>
        <v>1</v>
      </c>
      <c r="P161" s="22" t="str">
        <f>MID(VLOOKUP(C161,[1]Sheet1!$A$1:$AH$85,12,0),4,1)</f>
        <v>7</v>
      </c>
      <c r="Q161" s="22" t="str">
        <f>MID(VLOOKUP(C161,[1]Sheet1!$A$1:$AH$85,12,0),6,1)</f>
        <v/>
      </c>
      <c r="R161" s="22" t="str">
        <f>MID(VLOOKUP(C161,[1]Sheet1!$A$1:$AH$85,12,0),8,1)</f>
        <v/>
      </c>
      <c r="T161" s="23" t="s">
        <v>238</v>
      </c>
    </row>
    <row r="162" spans="1:20">
      <c r="A162" s="40">
        <v>104032</v>
      </c>
      <c r="B162" s="27">
        <v>104032</v>
      </c>
      <c r="C162" s="19">
        <v>4032</v>
      </c>
      <c r="D162" s="19">
        <v>1</v>
      </c>
      <c r="E162" s="19">
        <v>395524</v>
      </c>
      <c r="F162" s="20" t="s">
        <v>165</v>
      </c>
      <c r="J162" s="35" t="s">
        <v>239</v>
      </c>
      <c r="K162" s="18" t="s">
        <v>240</v>
      </c>
      <c r="L162" s="22">
        <f>VLOOKUP(C162,[1]Sheet1!$A$1:$K$85,11,0)</f>
        <v>2</v>
      </c>
      <c r="M162" s="22">
        <f>VLOOKUP(C162,[1]Sheet1!$A$1:$K$85,3,0)</f>
        <v>4</v>
      </c>
      <c r="N162" s="22">
        <f>VLOOKUP(C162,[1]Sheet1!$A$1:$AH$85,34,0)</f>
        <v>0</v>
      </c>
      <c r="O162" s="22" t="str">
        <f>MID(VLOOKUP(C162,[1]Sheet1!$A$1:$AH$85,12,0),2,1)</f>
        <v>4</v>
      </c>
      <c r="P162" s="22" t="str">
        <f>MID(VLOOKUP(C162,[1]Sheet1!$A$1:$AH$85,12,0),4,1)</f>
        <v>5</v>
      </c>
      <c r="Q162" s="22" t="str">
        <f>MID(VLOOKUP(C162,[1]Sheet1!$A$1:$AH$85,12,0),6,1)</f>
        <v/>
      </c>
      <c r="R162" s="22" t="str">
        <f>MID(VLOOKUP(C162,[1]Sheet1!$A$1:$AH$85,12,0),8,1)</f>
        <v/>
      </c>
      <c r="T162" s="23" t="s">
        <v>241</v>
      </c>
    </row>
    <row r="163" spans="1:20">
      <c r="A163" s="40">
        <v>104033</v>
      </c>
      <c r="B163" s="27">
        <v>104033</v>
      </c>
      <c r="C163" s="19">
        <v>4033</v>
      </c>
      <c r="D163" s="19">
        <v>1</v>
      </c>
      <c r="E163" s="19">
        <v>1085704</v>
      </c>
      <c r="F163" s="20" t="s">
        <v>175</v>
      </c>
      <c r="J163" s="35" t="s">
        <v>242</v>
      </c>
      <c r="K163" s="18" t="s">
        <v>243</v>
      </c>
      <c r="L163" s="22">
        <f>VLOOKUP(C163,[1]Sheet1!$A$1:$K$85,11,0)</f>
        <v>3</v>
      </c>
      <c r="M163" s="22">
        <f>VLOOKUP(C163,[1]Sheet1!$A$1:$K$85,3,0)</f>
        <v>4</v>
      </c>
      <c r="N163" s="22">
        <f>VLOOKUP(C163,[1]Sheet1!$A$1:$AH$85,34,0)</f>
        <v>0</v>
      </c>
      <c r="O163" s="22" t="str">
        <f>MID(VLOOKUP(C163,[1]Sheet1!$A$1:$AH$85,12,0),2,1)</f>
        <v>2</v>
      </c>
      <c r="P163" s="22" t="str">
        <f>MID(VLOOKUP(C163,[1]Sheet1!$A$1:$AH$85,12,0),4,1)</f>
        <v>7</v>
      </c>
      <c r="Q163" s="22" t="str">
        <f>MID(VLOOKUP(C163,[1]Sheet1!$A$1:$AH$85,12,0),6,1)</f>
        <v/>
      </c>
      <c r="R163" s="22" t="str">
        <f>MID(VLOOKUP(C163,[1]Sheet1!$A$1:$AH$85,12,0),8,1)</f>
        <v/>
      </c>
      <c r="T163" s="23" t="s">
        <v>188</v>
      </c>
    </row>
    <row r="164" spans="1:20">
      <c r="A164" s="40">
        <v>104034</v>
      </c>
      <c r="B164" s="27">
        <v>104034</v>
      </c>
      <c r="C164" s="19">
        <v>4034</v>
      </c>
      <c r="D164" s="19">
        <v>1</v>
      </c>
      <c r="E164" s="19">
        <v>1085700</v>
      </c>
      <c r="F164" s="20" t="s">
        <v>175</v>
      </c>
      <c r="J164" s="35" t="s">
        <v>244</v>
      </c>
      <c r="K164" s="18" t="s">
        <v>245</v>
      </c>
      <c r="L164" s="22">
        <f>VLOOKUP(C164,[1]Sheet1!$A$1:$K$85,11,0)</f>
        <v>2</v>
      </c>
      <c r="M164" s="22">
        <f>VLOOKUP(C164,[1]Sheet1!$A$1:$K$85,3,0)</f>
        <v>4</v>
      </c>
      <c r="N164" s="22">
        <f>VLOOKUP(C164,[1]Sheet1!$A$1:$AH$85,34,0)</f>
        <v>0</v>
      </c>
      <c r="O164" s="22" t="str">
        <f>MID(VLOOKUP(C164,[1]Sheet1!$A$1:$AH$85,12,0),2,1)</f>
        <v>2</v>
      </c>
      <c r="P164" s="22" t="str">
        <f>MID(VLOOKUP(C164,[1]Sheet1!$A$1:$AH$85,12,0),4,1)</f>
        <v>7</v>
      </c>
      <c r="Q164" s="22" t="str">
        <f>MID(VLOOKUP(C164,[1]Sheet1!$A$1:$AH$85,12,0),6,1)</f>
        <v/>
      </c>
      <c r="R164" s="22" t="str">
        <f>MID(VLOOKUP(C164,[1]Sheet1!$A$1:$AH$85,12,0),8,1)</f>
        <v/>
      </c>
      <c r="T164" s="23" t="s">
        <v>178</v>
      </c>
    </row>
    <row r="165" spans="1:20">
      <c r="A165" s="40">
        <v>104035</v>
      </c>
      <c r="B165" s="27">
        <v>104035</v>
      </c>
      <c r="C165" s="19">
        <v>4035</v>
      </c>
      <c r="D165" s="19">
        <v>1</v>
      </c>
      <c r="E165" s="19">
        <v>106754</v>
      </c>
      <c r="F165" s="20" t="s">
        <v>225</v>
      </c>
      <c r="J165" s="35" t="s">
        <v>246</v>
      </c>
      <c r="K165" s="18" t="s">
        <v>247</v>
      </c>
      <c r="L165" s="22">
        <f>VLOOKUP(C165,[1]Sheet1!$A$1:$K$85,11,0)</f>
        <v>1</v>
      </c>
      <c r="M165" s="22">
        <f>VLOOKUP(C165,[1]Sheet1!$A$1:$K$85,3,0)</f>
        <v>4</v>
      </c>
      <c r="N165" s="22">
        <f>VLOOKUP(C165,[1]Sheet1!$A$1:$AH$85,34,0)</f>
        <v>0</v>
      </c>
      <c r="O165" s="22" t="str">
        <f>MID(VLOOKUP(C165,[1]Sheet1!$A$1:$AH$85,12,0),2,1)</f>
        <v>2</v>
      </c>
      <c r="P165" s="22" t="str">
        <f>MID(VLOOKUP(C165,[1]Sheet1!$A$1:$AH$85,12,0),4,1)</f>
        <v>3</v>
      </c>
      <c r="Q165" s="22" t="str">
        <f>MID(VLOOKUP(C165,[1]Sheet1!$A$1:$AH$85,12,0),6,1)</f>
        <v/>
      </c>
      <c r="R165" s="22" t="str">
        <f>MID(VLOOKUP(C165,[1]Sheet1!$A$1:$AH$85,12,0),8,1)</f>
        <v/>
      </c>
      <c r="T165" s="23" t="s">
        <v>248</v>
      </c>
    </row>
    <row r="166" spans="1:20">
      <c r="A166" s="40">
        <v>104036</v>
      </c>
      <c r="B166" s="27">
        <v>104036</v>
      </c>
      <c r="C166" s="19">
        <v>4036</v>
      </c>
      <c r="D166" s="19">
        <v>1</v>
      </c>
      <c r="E166" s="19">
        <v>1115408</v>
      </c>
      <c r="F166" s="20" t="s">
        <v>153</v>
      </c>
      <c r="J166" s="35" t="s">
        <v>249</v>
      </c>
      <c r="K166" s="18" t="s">
        <v>250</v>
      </c>
      <c r="L166" s="22">
        <f>VLOOKUP(C166,[1]Sheet1!$A$1:$K$85,11,0)</f>
        <v>4</v>
      </c>
      <c r="M166" s="22">
        <f>VLOOKUP(C166,[1]Sheet1!$A$1:$K$85,3,0)</f>
        <v>4</v>
      </c>
      <c r="N166" s="22">
        <f>VLOOKUP(C166,[1]Sheet1!$A$1:$AH$85,34,0)</f>
        <v>0</v>
      </c>
      <c r="O166" s="22" t="str">
        <f>MID(VLOOKUP(C166,[1]Sheet1!$A$1:$AH$85,12,0),2,1)</f>
        <v>3</v>
      </c>
      <c r="P166" s="22" t="str">
        <f>MID(VLOOKUP(C166,[1]Sheet1!$A$1:$AH$85,12,0),4,1)</f>
        <v>7</v>
      </c>
      <c r="Q166" s="22" t="str">
        <f>MID(VLOOKUP(C166,[1]Sheet1!$A$1:$AH$85,12,0),6,1)</f>
        <v/>
      </c>
      <c r="R166" s="22" t="str">
        <f>MID(VLOOKUP(C166,[1]Sheet1!$A$1:$AH$85,12,0),8,1)</f>
        <v/>
      </c>
      <c r="T166" s="23" t="s">
        <v>230</v>
      </c>
    </row>
    <row r="167" spans="1:20">
      <c r="A167" s="40">
        <v>104037</v>
      </c>
      <c r="B167" s="27">
        <v>104037</v>
      </c>
      <c r="C167" s="19">
        <v>4037</v>
      </c>
      <c r="D167" s="19">
        <v>1</v>
      </c>
      <c r="E167" s="19">
        <v>395522</v>
      </c>
      <c r="F167" s="20" t="s">
        <v>165</v>
      </c>
      <c r="J167" s="35" t="s">
        <v>251</v>
      </c>
      <c r="K167" s="18" t="s">
        <v>252</v>
      </c>
      <c r="L167" s="22">
        <f>VLOOKUP(C167,[1]Sheet1!$A$1:$K$85,11,0)</f>
        <v>1</v>
      </c>
      <c r="M167" s="22">
        <f>VLOOKUP(C167,[1]Sheet1!$A$1:$K$85,3,0)</f>
        <v>4</v>
      </c>
      <c r="N167" s="22">
        <f>VLOOKUP(C167,[1]Sheet1!$A$1:$AH$85,34,0)</f>
        <v>0</v>
      </c>
      <c r="O167" s="22" t="str">
        <f>MID(VLOOKUP(C167,[1]Sheet1!$A$1:$AH$85,12,0),2,1)</f>
        <v>4</v>
      </c>
      <c r="P167" s="22" t="str">
        <f>MID(VLOOKUP(C167,[1]Sheet1!$A$1:$AH$85,12,0),4,1)</f>
        <v>5</v>
      </c>
      <c r="Q167" s="22" t="str">
        <f>MID(VLOOKUP(C167,[1]Sheet1!$A$1:$AH$85,12,0),6,1)</f>
        <v/>
      </c>
      <c r="R167" s="22" t="str">
        <f>MID(VLOOKUP(C167,[1]Sheet1!$A$1:$AH$85,12,0),8,1)</f>
        <v/>
      </c>
      <c r="T167" s="23" t="s">
        <v>238</v>
      </c>
    </row>
    <row r="168" spans="1:20">
      <c r="A168" s="40">
        <v>104038</v>
      </c>
      <c r="B168" s="27">
        <v>104038</v>
      </c>
      <c r="C168" s="19">
        <v>4038</v>
      </c>
      <c r="D168" s="19">
        <v>1</v>
      </c>
      <c r="E168" s="19">
        <v>49924</v>
      </c>
      <c r="F168" s="20" t="s">
        <v>218</v>
      </c>
      <c r="J168" s="35" t="s">
        <v>253</v>
      </c>
      <c r="K168" s="18" t="s">
        <v>254</v>
      </c>
      <c r="L168" s="22">
        <f>VLOOKUP(C168,[1]Sheet1!$A$1:$K$85,11,0)</f>
        <v>2</v>
      </c>
      <c r="M168" s="22">
        <f>VLOOKUP(C168,[1]Sheet1!$A$1:$K$85,3,0)</f>
        <v>4</v>
      </c>
      <c r="N168" s="22">
        <f>VLOOKUP(C168,[1]Sheet1!$A$1:$AH$85,34,0)</f>
        <v>0</v>
      </c>
      <c r="O168" s="22" t="str">
        <f>MID(VLOOKUP(C168,[1]Sheet1!$A$1:$AH$85,12,0),2,1)</f>
        <v>1</v>
      </c>
      <c r="P168" s="22" t="str">
        <f>MID(VLOOKUP(C168,[1]Sheet1!$A$1:$AH$85,12,0),4,1)</f>
        <v>2</v>
      </c>
      <c r="Q168" s="22" t="str">
        <f>MID(VLOOKUP(C168,[1]Sheet1!$A$1:$AH$85,12,0),6,1)</f>
        <v/>
      </c>
      <c r="R168" s="22" t="str">
        <f>MID(VLOOKUP(C168,[1]Sheet1!$A$1:$AH$85,12,0),8,1)</f>
        <v/>
      </c>
      <c r="T168" s="23" t="s">
        <v>255</v>
      </c>
    </row>
    <row r="169" spans="1:20">
      <c r="A169" s="40">
        <v>104039</v>
      </c>
      <c r="B169" s="27">
        <v>104039</v>
      </c>
      <c r="C169" s="19">
        <v>4039</v>
      </c>
      <c r="D169" s="19">
        <v>1</v>
      </c>
      <c r="E169" s="19">
        <v>395522</v>
      </c>
      <c r="F169" s="20" t="s">
        <v>165</v>
      </c>
      <c r="J169" s="35" t="s">
        <v>256</v>
      </c>
      <c r="K169" s="18" t="s">
        <v>252</v>
      </c>
      <c r="L169" s="22">
        <f>VLOOKUP(C169,[1]Sheet1!$A$1:$K$85,11,0)</f>
        <v>1</v>
      </c>
      <c r="M169" s="22">
        <f>VLOOKUP(C169,[1]Sheet1!$A$1:$K$85,3,0)</f>
        <v>4</v>
      </c>
      <c r="N169" s="22">
        <f>VLOOKUP(C169,[1]Sheet1!$A$1:$AH$85,34,0)</f>
        <v>0</v>
      </c>
      <c r="O169" s="22" t="str">
        <f>MID(VLOOKUP(C169,[1]Sheet1!$A$1:$AH$85,12,0),2,1)</f>
        <v>4</v>
      </c>
      <c r="P169" s="22" t="str">
        <f>MID(VLOOKUP(C169,[1]Sheet1!$A$1:$AH$85,12,0),4,1)</f>
        <v>5</v>
      </c>
      <c r="Q169" s="22" t="str">
        <f>MID(VLOOKUP(C169,[1]Sheet1!$A$1:$AH$85,12,0),6,1)</f>
        <v/>
      </c>
      <c r="R169" s="22" t="str">
        <f>MID(VLOOKUP(C169,[1]Sheet1!$A$1:$AH$85,12,0),8,1)</f>
        <v/>
      </c>
      <c r="T169" s="23" t="s">
        <v>238</v>
      </c>
    </row>
    <row r="170" spans="1:20">
      <c r="A170" s="40">
        <v>104040</v>
      </c>
      <c r="B170" s="27">
        <v>104040</v>
      </c>
      <c r="C170" s="19">
        <v>4040</v>
      </c>
      <c r="D170" s="19">
        <v>1</v>
      </c>
      <c r="E170" s="19">
        <v>99592</v>
      </c>
      <c r="F170" s="20" t="s">
        <v>153</v>
      </c>
      <c r="J170" s="35" t="s">
        <v>257</v>
      </c>
      <c r="K170" s="18" t="s">
        <v>258</v>
      </c>
      <c r="L170" s="22">
        <f>VLOOKUP(C170,[1]Sheet1!$A$1:$K$85,11,0)</f>
        <v>3</v>
      </c>
      <c r="M170" s="22">
        <f>VLOOKUP(C170,[1]Sheet1!$A$1:$K$85,3,0)</f>
        <v>4</v>
      </c>
      <c r="N170" s="22">
        <f>VLOOKUP(C170,[1]Sheet1!$A$1:$AH$85,34,0)</f>
        <v>0</v>
      </c>
      <c r="O170" s="22" t="str">
        <f>MID(VLOOKUP(C170,[1]Sheet1!$A$1:$AH$85,12,0),2,1)</f>
        <v>2</v>
      </c>
      <c r="P170" s="22" t="str">
        <f>MID(VLOOKUP(C170,[1]Sheet1!$A$1:$AH$85,12,0),4,1)</f>
        <v>3</v>
      </c>
      <c r="Q170" s="22" t="str">
        <f>MID(VLOOKUP(C170,[1]Sheet1!$A$1:$AH$85,12,0),6,1)</f>
        <v/>
      </c>
      <c r="R170" s="22" t="str">
        <f>MID(VLOOKUP(C170,[1]Sheet1!$A$1:$AH$85,12,0),8,1)</f>
        <v/>
      </c>
      <c r="T170" s="23" t="s">
        <v>259</v>
      </c>
    </row>
    <row r="171" ht="16.5" spans="1:20">
      <c r="A171" s="42">
        <v>201000</v>
      </c>
      <c r="B171" s="43">
        <v>1500</v>
      </c>
      <c r="C171" s="19">
        <v>1000</v>
      </c>
      <c r="D171" s="19">
        <v>2</v>
      </c>
      <c r="E171" s="28">
        <v>24624</v>
      </c>
      <c r="F171" s="20" t="s">
        <v>31</v>
      </c>
      <c r="J171" s="19" t="s">
        <v>32</v>
      </c>
      <c r="K171" s="18" t="s">
        <v>33</v>
      </c>
      <c r="L171" s="22">
        <f>VLOOKUP(C171,[1]Sheet1!$A$1:$K$85,11,0)</f>
        <v>4</v>
      </c>
      <c r="M171" s="22">
        <f>VLOOKUP(C171,[1]Sheet1!$A$1:$K$85,3,0)</f>
        <v>1</v>
      </c>
      <c r="N171" s="22">
        <f>VLOOKUP(C171,[1]Sheet1!$A$1:$AH$85,34,0)</f>
        <v>0</v>
      </c>
      <c r="O171" s="22" t="str">
        <f>MID(VLOOKUP(C171,[1]Sheet1!$A$1:$AH$85,12,0),2,1)</f>
        <v>1</v>
      </c>
      <c r="P171" s="22" t="str">
        <f>MID(VLOOKUP(C171,[1]Sheet1!$A$1:$AH$85,12,0),4,1)</f>
        <v/>
      </c>
      <c r="Q171" s="22" t="str">
        <f>MID(VLOOKUP(C171,[1]Sheet1!$A$1:$AH$85,12,0),6,1)</f>
        <v/>
      </c>
      <c r="R171" s="22" t="str">
        <f>MID(VLOOKUP(C171,[1]Sheet1!$A$1:$AH$85,12,0),8,1)</f>
        <v/>
      </c>
      <c r="T171" s="23" t="s">
        <v>34</v>
      </c>
    </row>
    <row r="172" ht="16.5" spans="1:20">
      <c r="A172" s="42">
        <v>201001</v>
      </c>
      <c r="B172" s="43">
        <v>1501</v>
      </c>
      <c r="C172" s="19">
        <v>1001</v>
      </c>
      <c r="D172" s="19">
        <v>2</v>
      </c>
      <c r="E172" s="28">
        <v>33832</v>
      </c>
      <c r="F172" s="20" t="s">
        <v>35</v>
      </c>
      <c r="J172" s="19" t="s">
        <v>36</v>
      </c>
      <c r="K172" s="34" t="s">
        <v>37</v>
      </c>
      <c r="L172" s="22">
        <f>VLOOKUP(C172,[1]Sheet1!$A$1:$K$85,11,0)</f>
        <v>3</v>
      </c>
      <c r="M172" s="22">
        <f>VLOOKUP(C172,[1]Sheet1!$A$1:$K$85,3,0)</f>
        <v>1</v>
      </c>
      <c r="N172" s="22">
        <f>VLOOKUP(C172,[1]Sheet1!$A$1:$AH$85,34,0)</f>
        <v>0</v>
      </c>
      <c r="O172" s="22" t="str">
        <f>MID(VLOOKUP(C172,[1]Sheet1!$A$1:$AH$85,12,0),2,1)</f>
        <v>2</v>
      </c>
      <c r="P172" s="22" t="str">
        <f>MID(VLOOKUP(C172,[1]Sheet1!$A$1:$AH$85,12,0),4,1)</f>
        <v/>
      </c>
      <c r="Q172" s="22" t="str">
        <f>MID(VLOOKUP(C172,[1]Sheet1!$A$1:$AH$85,12,0),6,1)</f>
        <v/>
      </c>
      <c r="R172" s="22" t="str">
        <f>MID(VLOOKUP(C172,[1]Sheet1!$A$1:$AH$85,12,0),8,1)</f>
        <v/>
      </c>
      <c r="T172" s="23" t="s">
        <v>38</v>
      </c>
    </row>
    <row r="173" ht="16.5" spans="1:20">
      <c r="A173" s="42">
        <v>201002</v>
      </c>
      <c r="B173" s="43">
        <v>1502</v>
      </c>
      <c r="C173" s="19">
        <v>1002</v>
      </c>
      <c r="D173" s="19">
        <v>2</v>
      </c>
      <c r="E173" s="29">
        <v>1065508</v>
      </c>
      <c r="F173" s="20" t="s">
        <v>39</v>
      </c>
      <c r="J173" s="19" t="s">
        <v>40</v>
      </c>
      <c r="K173" s="34" t="s">
        <v>41</v>
      </c>
      <c r="L173" s="22">
        <f>VLOOKUP(C173,[1]Sheet1!$A$1:$K$85,11,0)</f>
        <v>2</v>
      </c>
      <c r="M173" s="22">
        <f>VLOOKUP(C173,[1]Sheet1!$A$1:$K$85,3,0)</f>
        <v>1</v>
      </c>
      <c r="N173" s="22">
        <f>VLOOKUP(C173,[1]Sheet1!$A$1:$AH$85,34,0)</f>
        <v>0</v>
      </c>
      <c r="O173" s="22" t="str">
        <f>MID(VLOOKUP(C173,[1]Sheet1!$A$1:$AH$85,12,0),2,1)</f>
        <v>1</v>
      </c>
      <c r="P173" s="22" t="str">
        <f>MID(VLOOKUP(C173,[1]Sheet1!$A$1:$AH$85,12,0),4,1)</f>
        <v>7</v>
      </c>
      <c r="Q173" s="22" t="str">
        <f>MID(VLOOKUP(C173,[1]Sheet1!$A$1:$AH$85,12,0),6,1)</f>
        <v/>
      </c>
      <c r="R173" s="22" t="str">
        <f>MID(VLOOKUP(C173,[1]Sheet1!$A$1:$AH$85,12,0),8,1)</f>
        <v/>
      </c>
      <c r="T173" s="23" t="s">
        <v>42</v>
      </c>
    </row>
    <row r="174" ht="16.5" spans="1:20">
      <c r="A174" s="42">
        <v>201003</v>
      </c>
      <c r="B174" s="43">
        <v>1503</v>
      </c>
      <c r="C174" s="19">
        <v>1003</v>
      </c>
      <c r="D174" s="19">
        <v>2</v>
      </c>
      <c r="E174" s="28">
        <v>16936</v>
      </c>
      <c r="F174" s="20" t="s">
        <v>39</v>
      </c>
      <c r="J174" s="19" t="s">
        <v>43</v>
      </c>
      <c r="K174" s="34" t="s">
        <v>44</v>
      </c>
      <c r="L174" s="22">
        <f>VLOOKUP(C174,[1]Sheet1!$A$1:$K$85,11,0)</f>
        <v>3</v>
      </c>
      <c r="M174" s="22">
        <f>VLOOKUP(C174,[1]Sheet1!$A$1:$K$85,3,0)</f>
        <v>1</v>
      </c>
      <c r="N174" s="22">
        <f>VLOOKUP(C174,[1]Sheet1!$A$1:$AH$85,34,0)</f>
        <v>0</v>
      </c>
      <c r="O174" s="22" t="str">
        <f>MID(VLOOKUP(C174,[1]Sheet1!$A$1:$AH$85,12,0),2,1)</f>
        <v>1</v>
      </c>
      <c r="P174" s="22" t="str">
        <f>MID(VLOOKUP(C174,[1]Sheet1!$A$1:$AH$85,12,0),4,1)</f>
        <v/>
      </c>
      <c r="Q174" s="22" t="str">
        <f>MID(VLOOKUP(C174,[1]Sheet1!$A$1:$AH$85,12,0),6,1)</f>
        <v/>
      </c>
      <c r="R174" s="22" t="str">
        <f>MID(VLOOKUP(C174,[1]Sheet1!$A$1:$AH$85,12,0),8,1)</f>
        <v/>
      </c>
      <c r="T174" s="23" t="s">
        <v>45</v>
      </c>
    </row>
    <row r="175" ht="16.5" spans="1:20">
      <c r="A175" s="44">
        <v>201004</v>
      </c>
      <c r="B175" s="45">
        <v>1504</v>
      </c>
      <c r="C175" s="19">
        <v>2013</v>
      </c>
      <c r="D175" s="19">
        <v>2</v>
      </c>
      <c r="E175" s="19">
        <v>1115216</v>
      </c>
      <c r="F175" s="20" t="s">
        <v>56</v>
      </c>
      <c r="J175" s="35" t="s">
        <v>117</v>
      </c>
      <c r="K175" s="18" t="s">
        <v>118</v>
      </c>
      <c r="L175" s="22">
        <f>VLOOKUP(C175,[1]Sheet1!$A$1:$K$85,11,0)</f>
        <v>4</v>
      </c>
      <c r="M175" s="22">
        <f>VLOOKUP(C175,[1]Sheet1!$A$1:$K$85,3,0)</f>
        <v>2</v>
      </c>
      <c r="N175" s="22">
        <f>VLOOKUP(C175,[1]Sheet1!$A$1:$AH$85,34,0)</f>
        <v>0</v>
      </c>
      <c r="O175" s="22" t="str">
        <f>MID(VLOOKUP(C175,[1]Sheet1!$A$1:$AH$85,12,0),2,1)</f>
        <v>7</v>
      </c>
      <c r="P175" s="22" t="str">
        <f>MID(VLOOKUP(C175,[1]Sheet1!$A$1:$AH$85,12,0),4,1)</f>
        <v>3</v>
      </c>
      <c r="Q175" s="22" t="str">
        <f>MID(VLOOKUP(C175,[1]Sheet1!$A$1:$AH$85,12,0),6,1)</f>
        <v/>
      </c>
      <c r="R175" s="22" t="str">
        <f>MID(VLOOKUP(C175,[1]Sheet1!$A$1:$AH$85,12,0),8,1)</f>
        <v/>
      </c>
      <c r="T175" s="23" t="s">
        <v>119</v>
      </c>
    </row>
    <row r="176" ht="16.5" spans="1:20">
      <c r="A176" s="42">
        <v>201005</v>
      </c>
      <c r="B176" s="43">
        <v>1505</v>
      </c>
      <c r="C176" s="19">
        <v>1005</v>
      </c>
      <c r="D176" s="19">
        <v>2</v>
      </c>
      <c r="E176" s="28">
        <v>528420</v>
      </c>
      <c r="F176" s="20" t="s">
        <v>31</v>
      </c>
      <c r="J176" s="19" t="s">
        <v>46</v>
      </c>
      <c r="K176" s="18" t="s">
        <v>47</v>
      </c>
      <c r="L176" s="22">
        <f>VLOOKUP(C176,[1]Sheet1!$A$1:$K$85,11,0)</f>
        <v>2</v>
      </c>
      <c r="M176" s="22">
        <f>VLOOKUP(C176,[1]Sheet1!$A$1:$K$85,3,0)</f>
        <v>1</v>
      </c>
      <c r="N176" s="22">
        <f>VLOOKUP(C176,[1]Sheet1!$A$1:$AH$85,34,0)</f>
        <v>0</v>
      </c>
      <c r="O176" s="22" t="str">
        <f>MID(VLOOKUP(C176,[1]Sheet1!$A$1:$AH$85,12,0),2,1)</f>
        <v>6</v>
      </c>
      <c r="P176" s="22" t="str">
        <f>MID(VLOOKUP(C176,[1]Sheet1!$A$1:$AH$85,12,0),4,1)</f>
        <v/>
      </c>
      <c r="Q176" s="22" t="str">
        <f>MID(VLOOKUP(C176,[1]Sheet1!$A$1:$AH$85,12,0),6,1)</f>
        <v/>
      </c>
      <c r="R176" s="22" t="str">
        <f>MID(VLOOKUP(C176,[1]Sheet1!$A$1:$AH$85,12,0),8,1)</f>
        <v/>
      </c>
      <c r="T176" s="23" t="s">
        <v>48</v>
      </c>
    </row>
    <row r="177" ht="16.5" spans="1:20">
      <c r="A177" s="42">
        <v>201006</v>
      </c>
      <c r="B177" s="43">
        <v>1506</v>
      </c>
      <c r="C177" s="19">
        <v>1006</v>
      </c>
      <c r="D177" s="19">
        <v>2</v>
      </c>
      <c r="E177" s="28">
        <v>1050658</v>
      </c>
      <c r="F177" s="20" t="s">
        <v>49</v>
      </c>
      <c r="J177" s="19" t="s">
        <v>50</v>
      </c>
      <c r="K177" s="18" t="s">
        <v>51</v>
      </c>
      <c r="L177" s="22">
        <f>VLOOKUP(C177,[1]Sheet1!$A$1:$K$85,11,0)</f>
        <v>1</v>
      </c>
      <c r="M177" s="22">
        <f>VLOOKUP(C177,[1]Sheet1!$A$1:$K$85,3,0)</f>
        <v>1</v>
      </c>
      <c r="N177" s="22">
        <f>VLOOKUP(C177,[1]Sheet1!$A$1:$AH$85,34,0)</f>
        <v>0</v>
      </c>
      <c r="O177" s="22" t="str">
        <f>MID(VLOOKUP(C177,[1]Sheet1!$A$1:$AH$85,12,0),2,1)</f>
        <v>7</v>
      </c>
      <c r="P177" s="22" t="str">
        <f>MID(VLOOKUP(C177,[1]Sheet1!$A$1:$AH$85,12,0),4,1)</f>
        <v/>
      </c>
      <c r="Q177" s="22" t="str">
        <f>MID(VLOOKUP(C177,[1]Sheet1!$A$1:$AH$85,12,0),6,1)</f>
        <v/>
      </c>
      <c r="R177" s="22" t="str">
        <f>MID(VLOOKUP(C177,[1]Sheet1!$A$1:$AH$85,12,0),8,1)</f>
        <v/>
      </c>
      <c r="T177" s="23" t="s">
        <v>52</v>
      </c>
    </row>
    <row r="178" ht="16.5" spans="1:20">
      <c r="A178" s="42">
        <v>201007</v>
      </c>
      <c r="B178" s="43">
        <v>1507</v>
      </c>
      <c r="C178" s="19">
        <v>1007</v>
      </c>
      <c r="D178" s="19">
        <v>2</v>
      </c>
      <c r="E178" s="28">
        <v>36898</v>
      </c>
      <c r="F178" s="20" t="s">
        <v>31</v>
      </c>
      <c r="J178" s="19" t="s">
        <v>53</v>
      </c>
      <c r="K178" s="18" t="s">
        <v>54</v>
      </c>
      <c r="L178" s="22">
        <f>VLOOKUP(C178,[1]Sheet1!$A$1:$K$85,11,0)</f>
        <v>1</v>
      </c>
      <c r="M178" s="22">
        <f>VLOOKUP(C178,[1]Sheet1!$A$1:$K$85,3,0)</f>
        <v>1</v>
      </c>
      <c r="N178" s="22">
        <f>VLOOKUP(C178,[1]Sheet1!$A$1:$AH$85,34,0)</f>
        <v>0</v>
      </c>
      <c r="O178" s="22" t="str">
        <f>MID(VLOOKUP(C178,[1]Sheet1!$A$1:$AH$85,12,0),2,1)</f>
        <v>2</v>
      </c>
      <c r="P178" s="22" t="str">
        <f>MID(VLOOKUP(C178,[1]Sheet1!$A$1:$AH$85,12,0),4,1)</f>
        <v/>
      </c>
      <c r="Q178" s="22" t="str">
        <f>MID(VLOOKUP(C178,[1]Sheet1!$A$1:$AH$85,12,0),6,1)</f>
        <v/>
      </c>
      <c r="R178" s="22" t="str">
        <f>MID(VLOOKUP(C178,[1]Sheet1!$A$1:$AH$85,12,0),8,1)</f>
        <v/>
      </c>
      <c r="T178" s="23" t="s">
        <v>55</v>
      </c>
    </row>
    <row r="179" ht="16.5" spans="1:20">
      <c r="A179" s="44">
        <v>201008</v>
      </c>
      <c r="B179" s="45">
        <v>1508</v>
      </c>
      <c r="C179" s="19">
        <v>2008</v>
      </c>
      <c r="D179" s="19">
        <v>2</v>
      </c>
      <c r="E179" s="19">
        <v>33864</v>
      </c>
      <c r="F179" s="20" t="s">
        <v>56</v>
      </c>
      <c r="J179" s="35" t="s">
        <v>102</v>
      </c>
      <c r="K179" s="18" t="s">
        <v>103</v>
      </c>
      <c r="L179" s="22">
        <f>VLOOKUP(C179,[1]Sheet1!$A$1:$K$85,11,0)</f>
        <v>3</v>
      </c>
      <c r="M179" s="22">
        <f>VLOOKUP(C179,[1]Sheet1!$A$1:$K$85,3,0)</f>
        <v>2</v>
      </c>
      <c r="N179" s="22">
        <f>VLOOKUP(C179,[1]Sheet1!$A$1:$AH$85,34,0)</f>
        <v>0</v>
      </c>
      <c r="O179" s="22" t="str">
        <f>MID(VLOOKUP(C179,[1]Sheet1!$A$1:$AH$85,12,0),2,1)</f>
        <v>2</v>
      </c>
      <c r="P179" s="22" t="str">
        <f>MID(VLOOKUP(C179,[1]Sheet1!$A$1:$AH$85,12,0),4,1)</f>
        <v/>
      </c>
      <c r="Q179" s="22" t="str">
        <f>MID(VLOOKUP(C179,[1]Sheet1!$A$1:$AH$85,12,0),6,1)</f>
        <v/>
      </c>
      <c r="R179" s="22" t="str">
        <f>MID(VLOOKUP(C179,[1]Sheet1!$A$1:$AH$85,12,0),8,1)</f>
        <v/>
      </c>
      <c r="T179" s="23" t="s">
        <v>104</v>
      </c>
    </row>
    <row r="180" ht="16.5" spans="1:20">
      <c r="A180" s="44">
        <v>201009</v>
      </c>
      <c r="B180" s="45">
        <v>1509</v>
      </c>
      <c r="C180" s="19">
        <v>2007</v>
      </c>
      <c r="D180" s="19">
        <v>2</v>
      </c>
      <c r="E180" s="19">
        <v>33360</v>
      </c>
      <c r="F180" s="20" t="s">
        <v>67</v>
      </c>
      <c r="J180" s="35" t="s">
        <v>99</v>
      </c>
      <c r="K180" s="18" t="s">
        <v>100</v>
      </c>
      <c r="L180" s="22">
        <f>VLOOKUP(C180,[1]Sheet1!$A$1:$K$85,11,0)</f>
        <v>4</v>
      </c>
      <c r="M180" s="22">
        <f>VLOOKUP(C180,[1]Sheet1!$A$1:$K$85,3,0)</f>
        <v>2</v>
      </c>
      <c r="N180" s="22">
        <f>VLOOKUP(C180,[1]Sheet1!$A$1:$AH$85,34,0)</f>
        <v>0</v>
      </c>
      <c r="O180" s="22" t="str">
        <f>MID(VLOOKUP(C180,[1]Sheet1!$A$1:$AH$85,12,0),2,1)</f>
        <v>2</v>
      </c>
      <c r="P180" s="22" t="str">
        <f>MID(VLOOKUP(C180,[1]Sheet1!$A$1:$AH$85,12,0),4,1)</f>
        <v/>
      </c>
      <c r="Q180" s="22" t="str">
        <f>MID(VLOOKUP(C180,[1]Sheet1!$A$1:$AH$85,12,0),6,1)</f>
        <v/>
      </c>
      <c r="R180" s="22" t="str">
        <f>MID(VLOOKUP(C180,[1]Sheet1!$A$1:$AH$85,12,0),8,1)</f>
        <v/>
      </c>
      <c r="T180" s="23" t="s">
        <v>101</v>
      </c>
    </row>
    <row r="181" ht="16.5" spans="1:20">
      <c r="A181" s="42">
        <v>201010</v>
      </c>
      <c r="B181" s="43">
        <v>1510</v>
      </c>
      <c r="C181" s="19">
        <v>1010</v>
      </c>
      <c r="D181" s="19">
        <v>2</v>
      </c>
      <c r="E181" s="28">
        <v>525380</v>
      </c>
      <c r="F181" s="20" t="s">
        <v>56</v>
      </c>
      <c r="J181" s="19" t="s">
        <v>57</v>
      </c>
      <c r="K181" s="34" t="s">
        <v>58</v>
      </c>
      <c r="L181" s="22">
        <f>VLOOKUP(C181,[1]Sheet1!$A$1:$K$85,11,0)</f>
        <v>2</v>
      </c>
      <c r="M181" s="22">
        <f>VLOOKUP(C181,[1]Sheet1!$A$1:$K$85,3,0)</f>
        <v>2</v>
      </c>
      <c r="N181" s="22">
        <f>VLOOKUP(C181,[1]Sheet1!$A$1:$AH$85,34,0)</f>
        <v>0</v>
      </c>
      <c r="O181" s="22" t="str">
        <f>MID(VLOOKUP(C181,[1]Sheet1!$A$1:$AH$85,12,0),2,1)</f>
        <v>6</v>
      </c>
      <c r="P181" s="22" t="str">
        <f>MID(VLOOKUP(C181,[1]Sheet1!$A$1:$AH$85,12,0),4,1)</f>
        <v/>
      </c>
      <c r="Q181" s="22" t="str">
        <f>MID(VLOOKUP(C181,[1]Sheet1!$A$1:$AH$85,12,0),6,1)</f>
        <v/>
      </c>
      <c r="R181" s="22" t="str">
        <f>MID(VLOOKUP(C181,[1]Sheet1!$A$1:$AH$85,12,0),8,1)</f>
        <v/>
      </c>
      <c r="T181" s="23" t="s">
        <v>59</v>
      </c>
    </row>
    <row r="182" ht="16.5" spans="1:20">
      <c r="A182" s="42">
        <v>201011</v>
      </c>
      <c r="B182" s="43">
        <v>1511</v>
      </c>
      <c r="C182" s="19">
        <v>1011</v>
      </c>
      <c r="D182" s="19">
        <v>2</v>
      </c>
      <c r="E182" s="28">
        <v>132162</v>
      </c>
      <c r="F182" s="20" t="s">
        <v>56</v>
      </c>
      <c r="J182" s="19" t="s">
        <v>60</v>
      </c>
      <c r="K182" s="18" t="s">
        <v>61</v>
      </c>
      <c r="L182" s="22">
        <f>VLOOKUP(C182,[1]Sheet1!$A$1:$K$85,11,0)</f>
        <v>1</v>
      </c>
      <c r="M182" s="22">
        <f>VLOOKUP(C182,[1]Sheet1!$A$1:$K$85,3,0)</f>
        <v>2</v>
      </c>
      <c r="N182" s="22">
        <f>VLOOKUP(C182,[1]Sheet1!$A$1:$AH$85,34,0)</f>
        <v>0</v>
      </c>
      <c r="O182" s="22" t="str">
        <f>MID(VLOOKUP(C182,[1]Sheet1!$A$1:$AH$85,12,0),2,1)</f>
        <v>4</v>
      </c>
      <c r="P182" s="22" t="str">
        <f>MID(VLOOKUP(C182,[1]Sheet1!$A$1:$AH$85,12,0),4,1)</f>
        <v/>
      </c>
      <c r="Q182" s="22" t="str">
        <f>MID(VLOOKUP(C182,[1]Sheet1!$A$1:$AH$85,12,0),6,1)</f>
        <v/>
      </c>
      <c r="R182" s="22" t="str">
        <f>MID(VLOOKUP(C182,[1]Sheet1!$A$1:$AH$85,12,0),8,1)</f>
        <v/>
      </c>
      <c r="T182" s="23" t="s">
        <v>62</v>
      </c>
    </row>
    <row r="183" ht="16.5" spans="1:20">
      <c r="A183" s="42">
        <v>201012</v>
      </c>
      <c r="B183" s="43">
        <v>1512</v>
      </c>
      <c r="C183" s="19">
        <v>1012</v>
      </c>
      <c r="D183" s="19">
        <v>2</v>
      </c>
      <c r="E183" s="19">
        <v>41028</v>
      </c>
      <c r="F183" s="20" t="s">
        <v>63</v>
      </c>
      <c r="J183" s="19" t="s">
        <v>64</v>
      </c>
      <c r="K183" s="34" t="s">
        <v>65</v>
      </c>
      <c r="L183" s="22">
        <f>VLOOKUP(C183,[1]Sheet1!$A$1:$K$85,11,0)</f>
        <v>2</v>
      </c>
      <c r="M183" s="22">
        <f>VLOOKUP(C183,[1]Sheet1!$A$1:$K$85,3,0)</f>
        <v>2</v>
      </c>
      <c r="N183" s="22">
        <f>VLOOKUP(C183,[1]Sheet1!$A$1:$AH$85,34,0)</f>
        <v>0</v>
      </c>
      <c r="O183" s="22" t="str">
        <f>MID(VLOOKUP(C183,[1]Sheet1!$A$1:$AH$85,12,0),2,1)</f>
        <v>2</v>
      </c>
      <c r="P183" s="22" t="str">
        <f>MID(VLOOKUP(C183,[1]Sheet1!$A$1:$AH$85,12,0),4,1)</f>
        <v/>
      </c>
      <c r="Q183" s="22" t="str">
        <f>MID(VLOOKUP(C183,[1]Sheet1!$A$1:$AH$85,12,0),6,1)</f>
        <v/>
      </c>
      <c r="R183" s="22" t="str">
        <f>MID(VLOOKUP(C183,[1]Sheet1!$A$1:$AH$85,12,0),8,1)</f>
        <v/>
      </c>
      <c r="T183" s="23" t="s">
        <v>66</v>
      </c>
    </row>
    <row r="184" ht="16.5" spans="1:20">
      <c r="A184" s="42">
        <v>201013</v>
      </c>
      <c r="B184" s="43">
        <v>1513</v>
      </c>
      <c r="C184" s="19">
        <v>1013</v>
      </c>
      <c r="D184" s="19">
        <v>2</v>
      </c>
      <c r="E184" s="19">
        <v>16964</v>
      </c>
      <c r="F184" s="20" t="s">
        <v>67</v>
      </c>
      <c r="J184" s="19" t="s">
        <v>68</v>
      </c>
      <c r="K184" s="18" t="s">
        <v>69</v>
      </c>
      <c r="L184" s="22">
        <f>VLOOKUP(C184,[1]Sheet1!$A$1:$K$85,11,0)</f>
        <v>2</v>
      </c>
      <c r="M184" s="22">
        <f>VLOOKUP(C184,[1]Sheet1!$A$1:$K$85,3,0)</f>
        <v>2</v>
      </c>
      <c r="N184" s="22">
        <f>VLOOKUP(C184,[1]Sheet1!$A$1:$AH$85,34,0)</f>
        <v>0</v>
      </c>
      <c r="O184" s="22" t="str">
        <f>MID(VLOOKUP(C184,[1]Sheet1!$A$1:$AH$85,12,0),2,1)</f>
        <v>1</v>
      </c>
      <c r="P184" s="22" t="str">
        <f>MID(VLOOKUP(C184,[1]Sheet1!$A$1:$AH$85,12,0),4,1)</f>
        <v/>
      </c>
      <c r="Q184" s="22" t="str">
        <f>MID(VLOOKUP(C184,[1]Sheet1!$A$1:$AH$85,12,0),6,1)</f>
        <v/>
      </c>
      <c r="R184" s="22" t="str">
        <f>MID(VLOOKUP(C184,[1]Sheet1!$A$1:$AH$85,12,0),8,1)</f>
        <v/>
      </c>
      <c r="T184" s="23" t="s">
        <v>70</v>
      </c>
    </row>
    <row r="185" ht="16.5" spans="1:20">
      <c r="A185" s="42">
        <v>201014</v>
      </c>
      <c r="B185" s="43">
        <v>1514</v>
      </c>
      <c r="C185" s="19">
        <v>1014</v>
      </c>
      <c r="D185" s="19">
        <v>2</v>
      </c>
      <c r="E185" s="19">
        <v>36930</v>
      </c>
      <c r="F185" s="20" t="s">
        <v>71</v>
      </c>
      <c r="J185" s="19" t="s">
        <v>72</v>
      </c>
      <c r="K185" s="18" t="s">
        <v>73</v>
      </c>
      <c r="L185" s="22">
        <f>VLOOKUP(C185,[1]Sheet1!$A$1:$K$85,11,0)</f>
        <v>1</v>
      </c>
      <c r="M185" s="22">
        <f>VLOOKUP(C185,[1]Sheet1!$A$1:$K$85,3,0)</f>
        <v>2</v>
      </c>
      <c r="N185" s="22">
        <f>VLOOKUP(C185,[1]Sheet1!$A$1:$AH$85,34,0)</f>
        <v>0</v>
      </c>
      <c r="O185" s="22" t="str">
        <f>MID(VLOOKUP(C185,[1]Sheet1!$A$1:$AH$85,12,0),2,1)</f>
        <v>2</v>
      </c>
      <c r="P185" s="22" t="str">
        <f>MID(VLOOKUP(C185,[1]Sheet1!$A$1:$AH$85,12,0),4,1)</f>
        <v/>
      </c>
      <c r="Q185" s="22" t="str">
        <f>MID(VLOOKUP(C185,[1]Sheet1!$A$1:$AH$85,12,0),6,1)</f>
        <v/>
      </c>
      <c r="R185" s="22" t="str">
        <f>MID(VLOOKUP(C185,[1]Sheet1!$A$1:$AH$85,12,0),8,1)</f>
        <v/>
      </c>
      <c r="T185" s="23" t="s">
        <v>74</v>
      </c>
    </row>
    <row r="186" ht="16.5" spans="1:20">
      <c r="A186" s="42">
        <v>201015</v>
      </c>
      <c r="B186" s="43">
        <v>1515</v>
      </c>
      <c r="C186" s="19">
        <v>1015</v>
      </c>
      <c r="D186" s="19">
        <v>2</v>
      </c>
      <c r="E186" s="19">
        <v>36930</v>
      </c>
      <c r="F186" s="20" t="s">
        <v>71</v>
      </c>
      <c r="J186" s="19" t="s">
        <v>75</v>
      </c>
      <c r="K186" s="18" t="s">
        <v>76</v>
      </c>
      <c r="L186" s="22">
        <f>VLOOKUP(C186,[1]Sheet1!$A$1:$K$85,11,0)</f>
        <v>1</v>
      </c>
      <c r="M186" s="22">
        <f>VLOOKUP(C186,[1]Sheet1!$A$1:$K$85,3,0)</f>
        <v>2</v>
      </c>
      <c r="N186" s="22">
        <f>VLOOKUP(C186,[1]Sheet1!$A$1:$AH$85,34,0)</f>
        <v>0</v>
      </c>
      <c r="O186" s="22" t="str">
        <f>MID(VLOOKUP(C186,[1]Sheet1!$A$1:$AH$85,12,0),2,1)</f>
        <v>2</v>
      </c>
      <c r="P186" s="22" t="str">
        <f>MID(VLOOKUP(C186,[1]Sheet1!$A$1:$AH$85,12,0),4,1)</f>
        <v/>
      </c>
      <c r="Q186" s="22" t="str">
        <f>MID(VLOOKUP(C186,[1]Sheet1!$A$1:$AH$85,12,0),6,1)</f>
        <v/>
      </c>
      <c r="R186" s="22" t="str">
        <f>MID(VLOOKUP(C186,[1]Sheet1!$A$1:$AH$85,12,0),8,1)</f>
        <v/>
      </c>
      <c r="T186" s="23" t="s">
        <v>74</v>
      </c>
    </row>
    <row r="187" ht="16.5" spans="1:20">
      <c r="A187" s="44">
        <v>201016</v>
      </c>
      <c r="B187" s="45">
        <v>1516</v>
      </c>
      <c r="C187" s="46">
        <v>3019</v>
      </c>
      <c r="D187" s="46">
        <v>2</v>
      </c>
      <c r="E187" s="46">
        <v>66692</v>
      </c>
      <c r="F187" s="47" t="s">
        <v>84</v>
      </c>
      <c r="G187" s="48"/>
      <c r="H187" s="48"/>
      <c r="I187" s="48"/>
      <c r="J187" s="49" t="s">
        <v>169</v>
      </c>
      <c r="K187" s="48" t="s">
        <v>268</v>
      </c>
      <c r="L187" s="22">
        <f>VLOOKUP(C187,[1]Sheet1!$A$1:$K$85,11,0)</f>
        <v>2</v>
      </c>
      <c r="M187" s="22">
        <f>VLOOKUP(C187,[1]Sheet1!$A$1:$K$85,3,0)</f>
        <v>3</v>
      </c>
      <c r="N187" s="22">
        <f>VLOOKUP(C187,[1]Sheet1!$A$1:$AH$85,34,0)</f>
        <v>0</v>
      </c>
      <c r="O187" s="22" t="str">
        <f>MID(VLOOKUP(C187,[1]Sheet1!$A$1:$AH$85,12,0),2,1)</f>
        <v>3</v>
      </c>
      <c r="P187" s="22" t="str">
        <f>MID(VLOOKUP(C187,[1]Sheet1!$A$1:$AH$85,12,0),4,1)</f>
        <v/>
      </c>
      <c r="Q187" s="22" t="str">
        <f>MID(VLOOKUP(C187,[1]Sheet1!$A$1:$AH$85,12,0),6,1)</f>
        <v/>
      </c>
      <c r="R187" s="22" t="str">
        <f>MID(VLOOKUP(C187,[1]Sheet1!$A$1:$AH$85,12,0),8,1)</f>
        <v/>
      </c>
      <c r="T187" s="23" t="s">
        <v>94</v>
      </c>
    </row>
    <row r="188" ht="16.5" spans="1:20">
      <c r="A188" s="42">
        <v>201017</v>
      </c>
      <c r="B188" s="43">
        <v>1517</v>
      </c>
      <c r="C188" s="19">
        <v>1017</v>
      </c>
      <c r="D188" s="19">
        <v>2</v>
      </c>
      <c r="E188" s="19">
        <v>33840</v>
      </c>
      <c r="F188" s="20" t="s">
        <v>39</v>
      </c>
      <c r="J188" s="19" t="s">
        <v>77</v>
      </c>
      <c r="K188" s="18" t="s">
        <v>263</v>
      </c>
      <c r="L188" s="22">
        <f>VLOOKUP(C188,[1]Sheet1!$A$1:$K$85,11,0)</f>
        <v>4</v>
      </c>
      <c r="M188" s="22">
        <f>VLOOKUP(C188,[1]Sheet1!$A$1:$K$85,3,0)</f>
        <v>1</v>
      </c>
      <c r="N188" s="22">
        <f>VLOOKUP(C188,[1]Sheet1!$A$1:$AH$85,34,0)</f>
        <v>0</v>
      </c>
      <c r="O188" s="22" t="str">
        <f>MID(VLOOKUP(C188,[1]Sheet1!$A$1:$AH$85,12,0),2,1)</f>
        <v>2</v>
      </c>
      <c r="P188" s="22" t="str">
        <f>MID(VLOOKUP(C188,[1]Sheet1!$A$1:$AH$85,12,0),4,1)</f>
        <v/>
      </c>
      <c r="Q188" s="22" t="str">
        <f>MID(VLOOKUP(C188,[1]Sheet1!$A$1:$AH$85,12,0),6,1)</f>
        <v/>
      </c>
      <c r="R188" s="22" t="str">
        <f>MID(VLOOKUP(C188,[1]Sheet1!$A$1:$AH$85,12,0),8,1)</f>
        <v/>
      </c>
      <c r="T188" s="23" t="s">
        <v>79</v>
      </c>
    </row>
    <row r="189" ht="16.5" spans="1:20">
      <c r="A189" s="42">
        <v>202000</v>
      </c>
      <c r="B189" s="43">
        <v>1518</v>
      </c>
      <c r="C189" s="19">
        <v>2000</v>
      </c>
      <c r="D189" s="19">
        <v>2</v>
      </c>
      <c r="E189" s="19">
        <v>36994</v>
      </c>
      <c r="F189" s="20" t="s">
        <v>80</v>
      </c>
      <c r="J189" s="35" t="s">
        <v>81</v>
      </c>
      <c r="K189" s="18" t="s">
        <v>82</v>
      </c>
      <c r="L189" s="22">
        <f>VLOOKUP(C189,[1]Sheet1!$A$1:$K$85,11,0)</f>
        <v>1</v>
      </c>
      <c r="M189" s="22">
        <f>VLOOKUP(C189,[1]Sheet1!$A$1:$K$85,3,0)</f>
        <v>3</v>
      </c>
      <c r="N189" s="22">
        <f>VLOOKUP(C189,[1]Sheet1!$A$1:$AH$85,34,0)</f>
        <v>0</v>
      </c>
      <c r="O189" s="22" t="str">
        <f>MID(VLOOKUP(C189,[1]Sheet1!$A$1:$AH$85,12,0),2,1)</f>
        <v>2</v>
      </c>
      <c r="P189" s="22" t="str">
        <f>MID(VLOOKUP(C189,[1]Sheet1!$A$1:$AH$85,12,0),4,1)</f>
        <v/>
      </c>
      <c r="Q189" s="22" t="str">
        <f>MID(VLOOKUP(C189,[1]Sheet1!$A$1:$AH$85,12,0),6,1)</f>
        <v/>
      </c>
      <c r="R189" s="22" t="str">
        <f>MID(VLOOKUP(C189,[1]Sheet1!$A$1:$AH$85,12,0),8,1)</f>
        <v/>
      </c>
      <c r="T189" s="23" t="s">
        <v>83</v>
      </c>
    </row>
    <row r="190" ht="16.5" spans="1:20">
      <c r="A190" s="42">
        <v>202003</v>
      </c>
      <c r="B190" s="43">
        <v>1521</v>
      </c>
      <c r="C190" s="19">
        <v>2003</v>
      </c>
      <c r="D190" s="19">
        <v>2</v>
      </c>
      <c r="E190" s="19">
        <v>66690</v>
      </c>
      <c r="F190" s="20" t="s">
        <v>84</v>
      </c>
      <c r="J190" s="35" t="s">
        <v>85</v>
      </c>
      <c r="K190" s="18" t="s">
        <v>86</v>
      </c>
      <c r="L190" s="22">
        <f>VLOOKUP(C190,[1]Sheet1!$A$1:$K$85,11,0)</f>
        <v>1</v>
      </c>
      <c r="M190" s="22">
        <f>VLOOKUP(C190,[1]Sheet1!$A$1:$K$85,3,0)</f>
        <v>3</v>
      </c>
      <c r="N190" s="22">
        <f>VLOOKUP(C190,[1]Sheet1!$A$1:$AH$85,34,0)</f>
        <v>0</v>
      </c>
      <c r="O190" s="22" t="str">
        <f>MID(VLOOKUP(C190,[1]Sheet1!$A$1:$AH$85,12,0),2,1)</f>
        <v>3</v>
      </c>
      <c r="P190" s="22" t="str">
        <f>MID(VLOOKUP(C190,[1]Sheet1!$A$1:$AH$85,12,0),4,1)</f>
        <v/>
      </c>
      <c r="Q190" s="22" t="str">
        <f>MID(VLOOKUP(C190,[1]Sheet1!$A$1:$AH$85,12,0),6,1)</f>
        <v/>
      </c>
      <c r="R190" s="22" t="str">
        <f>MID(VLOOKUP(C190,[1]Sheet1!$A$1:$AH$85,12,0),8,1)</f>
        <v/>
      </c>
      <c r="T190" s="23" t="s">
        <v>87</v>
      </c>
    </row>
    <row r="191" ht="16.5" spans="1:20">
      <c r="A191" s="42">
        <v>202004</v>
      </c>
      <c r="B191" s="43">
        <v>1522</v>
      </c>
      <c r="C191" s="19">
        <v>2004</v>
      </c>
      <c r="D191" s="19">
        <v>2</v>
      </c>
      <c r="E191" s="19">
        <v>559236</v>
      </c>
      <c r="F191" s="20" t="s">
        <v>88</v>
      </c>
      <c r="J191" s="35" t="s">
        <v>89</v>
      </c>
      <c r="K191" s="18" t="s">
        <v>90</v>
      </c>
      <c r="L191" s="22">
        <f>VLOOKUP(C191,[1]Sheet1!$A$1:$K$85,11,0)</f>
        <v>2</v>
      </c>
      <c r="M191" s="22">
        <f>VLOOKUP(C191,[1]Sheet1!$A$1:$K$85,3,0)</f>
        <v>3</v>
      </c>
      <c r="N191" s="22">
        <f>VLOOKUP(C191,[1]Sheet1!$A$1:$AH$85,34,0)</f>
        <v>0</v>
      </c>
      <c r="O191" s="22" t="str">
        <f>MID(VLOOKUP(C191,[1]Sheet1!$A$1:$AH$85,12,0),2,1)</f>
        <v>2</v>
      </c>
      <c r="P191" s="22" t="str">
        <f>MID(VLOOKUP(C191,[1]Sheet1!$A$1:$AH$85,12,0),4,1)</f>
        <v>6</v>
      </c>
      <c r="Q191" s="22" t="str">
        <f>MID(VLOOKUP(C191,[1]Sheet1!$A$1:$AH$85,12,0),6,1)</f>
        <v/>
      </c>
      <c r="R191" s="22" t="str">
        <f>MID(VLOOKUP(C191,[1]Sheet1!$A$1:$AH$85,12,0),8,1)</f>
        <v/>
      </c>
      <c r="T191" s="23" t="s">
        <v>91</v>
      </c>
    </row>
    <row r="192" ht="16.5" spans="1:20">
      <c r="A192" s="42">
        <v>202005</v>
      </c>
      <c r="B192" s="43">
        <v>1523</v>
      </c>
      <c r="C192" s="19">
        <v>2005</v>
      </c>
      <c r="D192" s="19">
        <v>2</v>
      </c>
      <c r="E192" s="19">
        <v>1049732</v>
      </c>
      <c r="F192" s="20" t="s">
        <v>84</v>
      </c>
      <c r="J192" s="35" t="s">
        <v>92</v>
      </c>
      <c r="K192" s="18" t="s">
        <v>93</v>
      </c>
      <c r="L192" s="22">
        <f>VLOOKUP(C192,[1]Sheet1!$A$1:$K$85,11,0)</f>
        <v>2</v>
      </c>
      <c r="M192" s="22">
        <f>VLOOKUP(C192,[1]Sheet1!$A$1:$K$85,3,0)</f>
        <v>3</v>
      </c>
      <c r="N192" s="22">
        <f>VLOOKUP(C192,[1]Sheet1!$A$1:$AH$85,34,0)</f>
        <v>0</v>
      </c>
      <c r="O192" s="22" t="str">
        <f>MID(VLOOKUP(C192,[1]Sheet1!$A$1:$AH$85,12,0),2,1)</f>
        <v>7</v>
      </c>
      <c r="P192" s="22" t="str">
        <f>MID(VLOOKUP(C192,[1]Sheet1!$A$1:$AH$85,12,0),4,1)</f>
        <v/>
      </c>
      <c r="Q192" s="22" t="str">
        <f>MID(VLOOKUP(C192,[1]Sheet1!$A$1:$AH$85,12,0),6,1)</f>
        <v/>
      </c>
      <c r="R192" s="22" t="str">
        <f>MID(VLOOKUP(C192,[1]Sheet1!$A$1:$AH$85,12,0),8,1)</f>
        <v/>
      </c>
      <c r="T192" s="23" t="s">
        <v>94</v>
      </c>
    </row>
    <row r="193" ht="16.5" spans="1:20">
      <c r="A193" s="42">
        <v>202006</v>
      </c>
      <c r="B193" s="43">
        <v>1524</v>
      </c>
      <c r="C193" s="19">
        <v>2006</v>
      </c>
      <c r="D193" s="19">
        <v>2</v>
      </c>
      <c r="E193" s="19">
        <v>1067088</v>
      </c>
      <c r="F193" s="20" t="s">
        <v>95</v>
      </c>
      <c r="J193" s="35" t="s">
        <v>96</v>
      </c>
      <c r="K193" s="18" t="s">
        <v>97</v>
      </c>
      <c r="L193" s="22">
        <f>VLOOKUP(C193,[1]Sheet1!$A$1:$K$85,11,0)</f>
        <v>4</v>
      </c>
      <c r="M193" s="22">
        <f>VLOOKUP(C193,[1]Sheet1!$A$1:$K$85,3,0)</f>
        <v>2</v>
      </c>
      <c r="N193" s="22">
        <f>VLOOKUP(C193,[1]Sheet1!$A$1:$AH$85,34,0)</f>
        <v>0</v>
      </c>
      <c r="O193" s="22" t="str">
        <f>MID(VLOOKUP(C193,[1]Sheet1!$A$1:$AH$85,12,0),2,1)</f>
        <v>1</v>
      </c>
      <c r="P193" s="22" t="str">
        <f>MID(VLOOKUP(C193,[1]Sheet1!$A$1:$AH$85,12,0),4,1)</f>
        <v>7</v>
      </c>
      <c r="Q193" s="22" t="str">
        <f>MID(VLOOKUP(C193,[1]Sheet1!$A$1:$AH$85,12,0),6,1)</f>
        <v/>
      </c>
      <c r="R193" s="22" t="str">
        <f>MID(VLOOKUP(C193,[1]Sheet1!$A$1:$AH$85,12,0),8,1)</f>
        <v/>
      </c>
      <c r="T193" s="23" t="s">
        <v>98</v>
      </c>
    </row>
    <row r="194" ht="16.5" spans="1:20">
      <c r="A194" s="42">
        <v>202007</v>
      </c>
      <c r="B194" s="43">
        <v>1525</v>
      </c>
      <c r="C194" s="19">
        <v>2007</v>
      </c>
      <c r="D194" s="19">
        <v>2</v>
      </c>
      <c r="E194" s="19">
        <v>33360</v>
      </c>
      <c r="F194" s="20" t="s">
        <v>67</v>
      </c>
      <c r="J194" s="35" t="s">
        <v>99</v>
      </c>
      <c r="K194" s="18" t="s">
        <v>100</v>
      </c>
      <c r="L194" s="22">
        <f>VLOOKUP(C194,[1]Sheet1!$A$1:$K$85,11,0)</f>
        <v>4</v>
      </c>
      <c r="M194" s="22">
        <f>VLOOKUP(C194,[1]Sheet1!$A$1:$K$85,3,0)</f>
        <v>2</v>
      </c>
      <c r="N194" s="22">
        <f>VLOOKUP(C194,[1]Sheet1!$A$1:$AH$85,34,0)</f>
        <v>0</v>
      </c>
      <c r="O194" s="22" t="str">
        <f>MID(VLOOKUP(C194,[1]Sheet1!$A$1:$AH$85,12,0),2,1)</f>
        <v>2</v>
      </c>
      <c r="P194" s="22" t="str">
        <f>MID(VLOOKUP(C194,[1]Sheet1!$A$1:$AH$85,12,0),4,1)</f>
        <v/>
      </c>
      <c r="Q194" s="22" t="str">
        <f>MID(VLOOKUP(C194,[1]Sheet1!$A$1:$AH$85,12,0),6,1)</f>
        <v/>
      </c>
      <c r="R194" s="22" t="str">
        <f>MID(VLOOKUP(C194,[1]Sheet1!$A$1:$AH$85,12,0),8,1)</f>
        <v/>
      </c>
      <c r="T194" s="23" t="s">
        <v>101</v>
      </c>
    </row>
    <row r="195" ht="16.5" spans="1:20">
      <c r="A195" s="42">
        <v>202008</v>
      </c>
      <c r="B195" s="43">
        <v>1526</v>
      </c>
      <c r="C195" s="19">
        <v>2008</v>
      </c>
      <c r="D195" s="19">
        <v>2</v>
      </c>
      <c r="E195" s="19">
        <v>33864</v>
      </c>
      <c r="F195" s="20" t="s">
        <v>56</v>
      </c>
      <c r="J195" s="35" t="s">
        <v>102</v>
      </c>
      <c r="K195" s="18" t="s">
        <v>103</v>
      </c>
      <c r="L195" s="22">
        <f>VLOOKUP(C195,[1]Sheet1!$A$1:$K$85,11,0)</f>
        <v>3</v>
      </c>
      <c r="M195" s="22">
        <f>VLOOKUP(C195,[1]Sheet1!$A$1:$K$85,3,0)</f>
        <v>2</v>
      </c>
      <c r="N195" s="22">
        <f>VLOOKUP(C195,[1]Sheet1!$A$1:$AH$85,34,0)</f>
        <v>0</v>
      </c>
      <c r="O195" s="22" t="str">
        <f>MID(VLOOKUP(C195,[1]Sheet1!$A$1:$AH$85,12,0),2,1)</f>
        <v>2</v>
      </c>
      <c r="P195" s="22" t="str">
        <f>MID(VLOOKUP(C195,[1]Sheet1!$A$1:$AH$85,12,0),4,1)</f>
        <v/>
      </c>
      <c r="Q195" s="22" t="str">
        <f>MID(VLOOKUP(C195,[1]Sheet1!$A$1:$AH$85,12,0),6,1)</f>
        <v/>
      </c>
      <c r="R195" s="22" t="str">
        <f>MID(VLOOKUP(C195,[1]Sheet1!$A$1:$AH$85,12,0),8,1)</f>
        <v/>
      </c>
      <c r="T195" s="23" t="s">
        <v>104</v>
      </c>
    </row>
    <row r="196" ht="16.5" spans="1:20">
      <c r="A196" s="42">
        <v>202009</v>
      </c>
      <c r="B196" s="43">
        <v>1527</v>
      </c>
      <c r="C196" s="19">
        <v>2009</v>
      </c>
      <c r="D196" s="19">
        <v>2</v>
      </c>
      <c r="E196" s="19">
        <v>1049160</v>
      </c>
      <c r="F196" s="20" t="s">
        <v>67</v>
      </c>
      <c r="J196" s="35" t="s">
        <v>105</v>
      </c>
      <c r="K196" s="18" t="s">
        <v>106</v>
      </c>
      <c r="L196" s="22">
        <f>VLOOKUP(C196,[1]Sheet1!$A$1:$K$85,11,0)</f>
        <v>3</v>
      </c>
      <c r="M196" s="22">
        <f>VLOOKUP(C196,[1]Sheet1!$A$1:$K$85,3,0)</f>
        <v>2</v>
      </c>
      <c r="N196" s="22">
        <f>VLOOKUP(C196,[1]Sheet1!$A$1:$AH$85,34,0)</f>
        <v>0</v>
      </c>
      <c r="O196" s="22" t="str">
        <f>MID(VLOOKUP(C196,[1]Sheet1!$A$1:$AH$85,12,0),2,1)</f>
        <v>7</v>
      </c>
      <c r="P196" s="22" t="str">
        <f>MID(VLOOKUP(C196,[1]Sheet1!$A$1:$AH$85,12,0),4,1)</f>
        <v/>
      </c>
      <c r="Q196" s="22" t="str">
        <f>MID(VLOOKUP(C196,[1]Sheet1!$A$1:$AH$85,12,0),6,1)</f>
        <v/>
      </c>
      <c r="R196" s="22" t="str">
        <f>MID(VLOOKUP(C196,[1]Sheet1!$A$1:$AH$85,12,0),8,1)</f>
        <v/>
      </c>
      <c r="T196" s="23" t="s">
        <v>107</v>
      </c>
    </row>
    <row r="197" ht="16.5" spans="1:20">
      <c r="A197" s="42">
        <v>202010</v>
      </c>
      <c r="B197" s="43">
        <v>1528</v>
      </c>
      <c r="C197" s="31">
        <v>2010</v>
      </c>
      <c r="D197" s="19">
        <v>2</v>
      </c>
      <c r="E197" s="19">
        <v>37000</v>
      </c>
      <c r="F197" s="20" t="s">
        <v>80</v>
      </c>
      <c r="J197" s="36" t="s">
        <v>108</v>
      </c>
      <c r="K197" s="18" t="s">
        <v>264</v>
      </c>
      <c r="L197" s="22">
        <f>VLOOKUP(C197,[1]Sheet1!$A$1:$K$85,11,0)</f>
        <v>3</v>
      </c>
      <c r="M197" s="22">
        <f>VLOOKUP(C197,[1]Sheet1!$A$1:$K$85,3,0)</f>
        <v>3</v>
      </c>
      <c r="N197" s="22">
        <f>VLOOKUP(C197,[1]Sheet1!$A$1:$AH$85,34,0)</f>
        <v>0</v>
      </c>
      <c r="O197" s="22" t="str">
        <f>MID(VLOOKUP(C197,[1]Sheet1!$A$1:$AH$85,12,0),2,1)</f>
        <v>2</v>
      </c>
      <c r="P197" s="22" t="str">
        <f>MID(VLOOKUP(C197,[1]Sheet1!$A$1:$AH$85,12,0),4,1)</f>
        <v/>
      </c>
      <c r="Q197" s="22" t="str">
        <f>MID(VLOOKUP(C197,[1]Sheet1!$A$1:$AH$85,12,0),6,1)</f>
        <v/>
      </c>
      <c r="R197" s="22" t="str">
        <f>MID(VLOOKUP(C197,[1]Sheet1!$A$1:$AH$85,12,0),8,1)</f>
        <v/>
      </c>
      <c r="T197" s="23" t="s">
        <v>110</v>
      </c>
    </row>
    <row r="198" ht="16.5" spans="1:20">
      <c r="A198" s="42">
        <v>202011</v>
      </c>
      <c r="B198" s="43">
        <v>1529</v>
      </c>
      <c r="C198" s="19">
        <v>2011</v>
      </c>
      <c r="D198" s="19">
        <v>2</v>
      </c>
      <c r="E198" s="19">
        <v>33412</v>
      </c>
      <c r="F198" s="20" t="s">
        <v>111</v>
      </c>
      <c r="J198" s="35" t="s">
        <v>112</v>
      </c>
      <c r="K198" s="18" t="s">
        <v>113</v>
      </c>
      <c r="L198" s="22">
        <f>VLOOKUP(C198,[1]Sheet1!$A$1:$K$85,11,0)</f>
        <v>2</v>
      </c>
      <c r="M198" s="22">
        <f>VLOOKUP(C198,[1]Sheet1!$A$1:$K$85,3,0)</f>
        <v>3</v>
      </c>
      <c r="N198" s="22">
        <f>VLOOKUP(C198,[1]Sheet1!$A$1:$AH$85,34,0)</f>
        <v>0</v>
      </c>
      <c r="O198" s="22" t="str">
        <f>MID(VLOOKUP(C198,[1]Sheet1!$A$1:$AH$85,12,0),2,1)</f>
        <v>2</v>
      </c>
      <c r="P198" s="22" t="str">
        <f>MID(VLOOKUP(C198,[1]Sheet1!$A$1:$AH$85,12,0),4,1)</f>
        <v/>
      </c>
      <c r="Q198" s="22" t="str">
        <f>MID(VLOOKUP(C198,[1]Sheet1!$A$1:$AH$85,12,0),6,1)</f>
        <v/>
      </c>
      <c r="R198" s="22" t="str">
        <f>MID(VLOOKUP(C198,[1]Sheet1!$A$1:$AH$85,12,0),8,1)</f>
        <v/>
      </c>
      <c r="T198" s="23" t="s">
        <v>114</v>
      </c>
    </row>
    <row r="199" ht="16.5" spans="1:20">
      <c r="A199" s="42">
        <v>202012</v>
      </c>
      <c r="B199" s="43">
        <v>1530</v>
      </c>
      <c r="C199" s="19">
        <v>2012</v>
      </c>
      <c r="D199" s="19">
        <v>2</v>
      </c>
      <c r="E199" s="19">
        <v>66692</v>
      </c>
      <c r="F199" s="20" t="s">
        <v>84</v>
      </c>
      <c r="J199" s="35" t="s">
        <v>115</v>
      </c>
      <c r="K199" s="18" t="s">
        <v>116</v>
      </c>
      <c r="L199" s="22">
        <f>VLOOKUP(C199,[1]Sheet1!$A$1:$K$85,11,0)</f>
        <v>2</v>
      </c>
      <c r="M199" s="22">
        <f>VLOOKUP(C199,[1]Sheet1!$A$1:$K$85,3,0)</f>
        <v>3</v>
      </c>
      <c r="N199" s="22">
        <f>VLOOKUP(C199,[1]Sheet1!$A$1:$AH$85,34,0)</f>
        <v>0</v>
      </c>
      <c r="O199" s="22" t="str">
        <f>MID(VLOOKUP(C199,[1]Sheet1!$A$1:$AH$85,12,0),2,1)</f>
        <v>3</v>
      </c>
      <c r="P199" s="22" t="str">
        <f>MID(VLOOKUP(C199,[1]Sheet1!$A$1:$AH$85,12,0),4,1)</f>
        <v/>
      </c>
      <c r="Q199" s="22" t="str">
        <f>MID(VLOOKUP(C199,[1]Sheet1!$A$1:$AH$85,12,0),6,1)</f>
        <v/>
      </c>
      <c r="R199" s="22" t="str">
        <f>MID(VLOOKUP(C199,[1]Sheet1!$A$1:$AH$85,12,0),8,1)</f>
        <v/>
      </c>
      <c r="T199" s="23" t="s">
        <v>94</v>
      </c>
    </row>
    <row r="200" ht="16.5" spans="1:20">
      <c r="A200" s="42">
        <v>202013</v>
      </c>
      <c r="B200" s="43">
        <v>1531</v>
      </c>
      <c r="C200" s="19">
        <v>2013</v>
      </c>
      <c r="D200" s="19">
        <v>2</v>
      </c>
      <c r="E200" s="19">
        <v>1115216</v>
      </c>
      <c r="F200" s="20" t="s">
        <v>56</v>
      </c>
      <c r="J200" s="35" t="s">
        <v>117</v>
      </c>
      <c r="K200" s="18" t="s">
        <v>118</v>
      </c>
      <c r="L200" s="22">
        <f>VLOOKUP(C200,[1]Sheet1!$A$1:$K$85,11,0)</f>
        <v>4</v>
      </c>
      <c r="M200" s="22">
        <f>VLOOKUP(C200,[1]Sheet1!$A$1:$K$85,3,0)</f>
        <v>2</v>
      </c>
      <c r="N200" s="22">
        <f>VLOOKUP(C200,[1]Sheet1!$A$1:$AH$85,34,0)</f>
        <v>0</v>
      </c>
      <c r="O200" s="22" t="str">
        <f>MID(VLOOKUP(C200,[1]Sheet1!$A$1:$AH$85,12,0),2,1)</f>
        <v>7</v>
      </c>
      <c r="P200" s="22" t="str">
        <f>MID(VLOOKUP(C200,[1]Sheet1!$A$1:$AH$85,12,0),4,1)</f>
        <v>3</v>
      </c>
      <c r="Q200" s="22" t="str">
        <f>MID(VLOOKUP(C200,[1]Sheet1!$A$1:$AH$85,12,0),6,1)</f>
        <v/>
      </c>
      <c r="R200" s="22" t="str">
        <f>MID(VLOOKUP(C200,[1]Sheet1!$A$1:$AH$85,12,0),8,1)</f>
        <v/>
      </c>
      <c r="T200" s="23" t="s">
        <v>119</v>
      </c>
    </row>
    <row r="201" ht="16.5" spans="1:20">
      <c r="A201" s="42">
        <v>202015</v>
      </c>
      <c r="B201" s="43">
        <v>1533</v>
      </c>
      <c r="C201" s="19">
        <v>2015</v>
      </c>
      <c r="D201" s="19">
        <v>2</v>
      </c>
      <c r="E201" s="19">
        <v>66120</v>
      </c>
      <c r="F201" s="20" t="s">
        <v>67</v>
      </c>
      <c r="J201" s="35" t="s">
        <v>120</v>
      </c>
      <c r="K201" s="18" t="s">
        <v>121</v>
      </c>
      <c r="L201" s="22">
        <f>VLOOKUP(C201,[1]Sheet1!$A$1:$K$85,11,0)</f>
        <v>3</v>
      </c>
      <c r="M201" s="22">
        <f>VLOOKUP(C201,[1]Sheet1!$A$1:$K$85,3,0)</f>
        <v>2</v>
      </c>
      <c r="N201" s="22">
        <f>VLOOKUP(C201,[1]Sheet1!$A$1:$AH$85,34,0)</f>
        <v>0</v>
      </c>
      <c r="O201" s="22" t="str">
        <f>MID(VLOOKUP(C201,[1]Sheet1!$A$1:$AH$85,12,0),2,1)</f>
        <v>3</v>
      </c>
      <c r="P201" s="22" t="str">
        <f>MID(VLOOKUP(C201,[1]Sheet1!$A$1:$AH$85,12,0),4,1)</f>
        <v/>
      </c>
      <c r="Q201" s="22" t="str">
        <f>MID(VLOOKUP(C201,[1]Sheet1!$A$1:$AH$85,12,0),6,1)</f>
        <v/>
      </c>
      <c r="R201" s="22" t="str">
        <f>MID(VLOOKUP(C201,[1]Sheet1!$A$1:$AH$85,12,0),8,1)</f>
        <v/>
      </c>
      <c r="T201" s="23" t="s">
        <v>107</v>
      </c>
    </row>
    <row r="202" ht="16.5" spans="1:20">
      <c r="A202" s="44">
        <v>202016</v>
      </c>
      <c r="B202" s="45">
        <v>1534</v>
      </c>
      <c r="C202" s="46">
        <v>2016</v>
      </c>
      <c r="D202" s="46">
        <v>2</v>
      </c>
      <c r="E202" s="46">
        <v>33410</v>
      </c>
      <c r="F202" s="47" t="s">
        <v>111</v>
      </c>
      <c r="G202" s="48"/>
      <c r="H202" s="48"/>
      <c r="I202" s="48"/>
      <c r="J202" s="51" t="s">
        <v>122</v>
      </c>
      <c r="K202" s="48" t="s">
        <v>113</v>
      </c>
      <c r="L202" s="22">
        <f>VLOOKUP(C202,[1]Sheet1!$A$1:$K$85,11,0)</f>
        <v>1</v>
      </c>
      <c r="M202" s="22">
        <f>VLOOKUP(C202,[1]Sheet1!$A$1:$K$85,3,0)</f>
        <v>3</v>
      </c>
      <c r="N202" s="22">
        <f>VLOOKUP(C202,[1]Sheet1!$A$1:$AH$85,34,0)</f>
        <v>0</v>
      </c>
      <c r="O202" s="22" t="str">
        <f>MID(VLOOKUP(C202,[1]Sheet1!$A$1:$AH$85,12,0),2,1)</f>
        <v>2</v>
      </c>
      <c r="P202" s="22" t="str">
        <f>MID(VLOOKUP(C202,[1]Sheet1!$A$1:$AH$85,12,0),4,1)</f>
        <v/>
      </c>
      <c r="Q202" s="22" t="str">
        <f>MID(VLOOKUP(C202,[1]Sheet1!$A$1:$AH$85,12,0),6,1)</f>
        <v/>
      </c>
      <c r="R202" s="22" t="str">
        <f>MID(VLOOKUP(C202,[1]Sheet1!$A$1:$AH$85,12,0),8,1)</f>
        <v/>
      </c>
      <c r="T202" s="23" t="s">
        <v>124</v>
      </c>
    </row>
    <row r="203" ht="16.5" spans="1:20">
      <c r="A203" s="42">
        <v>202017</v>
      </c>
      <c r="B203" s="43">
        <v>1535</v>
      </c>
      <c r="C203" s="19">
        <v>2017</v>
      </c>
      <c r="D203" s="19">
        <v>2</v>
      </c>
      <c r="E203" s="19">
        <v>133186</v>
      </c>
      <c r="F203" s="20" t="s">
        <v>88</v>
      </c>
      <c r="J203" s="35" t="s">
        <v>125</v>
      </c>
      <c r="K203" s="18" t="s">
        <v>126</v>
      </c>
      <c r="L203" s="22">
        <f>VLOOKUP(C203,[1]Sheet1!$A$1:$K$85,11,0)</f>
        <v>1</v>
      </c>
      <c r="M203" s="22">
        <f>VLOOKUP(C203,[1]Sheet1!$A$1:$K$85,3,0)</f>
        <v>2</v>
      </c>
      <c r="N203" s="22">
        <f>VLOOKUP(C203,[1]Sheet1!$A$1:$AH$85,34,0)</f>
        <v>0</v>
      </c>
      <c r="O203" s="22" t="str">
        <f>MID(VLOOKUP(C203,[1]Sheet1!$A$1:$AH$85,12,0),2,1)</f>
        <v>4</v>
      </c>
      <c r="P203" s="22" t="str">
        <f>MID(VLOOKUP(C203,[1]Sheet1!$A$1:$AH$85,12,0),4,1)</f>
        <v/>
      </c>
      <c r="Q203" s="22" t="str">
        <f>MID(VLOOKUP(C203,[1]Sheet1!$A$1:$AH$85,12,0),6,1)</f>
        <v/>
      </c>
      <c r="R203" s="22" t="str">
        <f>MID(VLOOKUP(C203,[1]Sheet1!$A$1:$AH$85,12,0),8,1)</f>
        <v/>
      </c>
      <c r="T203" s="23" t="s">
        <v>127</v>
      </c>
    </row>
    <row r="204" ht="16.5" spans="1:20">
      <c r="A204" s="42">
        <v>203000</v>
      </c>
      <c r="B204" s="43">
        <v>1538</v>
      </c>
      <c r="C204" s="19">
        <v>3000</v>
      </c>
      <c r="D204" s="19">
        <v>2</v>
      </c>
      <c r="E204" s="19">
        <v>1082512</v>
      </c>
      <c r="F204" s="20" t="s">
        <v>84</v>
      </c>
      <c r="J204" s="26" t="s">
        <v>128</v>
      </c>
      <c r="K204" s="18" t="s">
        <v>129</v>
      </c>
      <c r="L204" s="22">
        <f>VLOOKUP(C204,[1]Sheet1!$A$1:$K$85,11,0)</f>
        <v>4</v>
      </c>
      <c r="M204" s="22">
        <f>VLOOKUP(C204,[1]Sheet1!$A$1:$K$85,3,0)</f>
        <v>3</v>
      </c>
      <c r="N204" s="22">
        <f>VLOOKUP(C204,[1]Sheet1!$A$1:$AH$85,34,0)</f>
        <v>0</v>
      </c>
      <c r="O204" s="22" t="str">
        <f>MID(VLOOKUP(C204,[1]Sheet1!$A$1:$AH$85,12,0),2,1)</f>
        <v>2</v>
      </c>
      <c r="P204" s="22" t="str">
        <f>MID(VLOOKUP(C204,[1]Sheet1!$A$1:$AH$85,12,0),4,1)</f>
        <v>7</v>
      </c>
      <c r="Q204" s="22" t="str">
        <f>MID(VLOOKUP(C204,[1]Sheet1!$A$1:$AH$85,12,0),6,1)</f>
        <v/>
      </c>
      <c r="R204" s="22" t="str">
        <f>MID(VLOOKUP(C204,[1]Sheet1!$A$1:$AH$85,12,0),8,1)</f>
        <v/>
      </c>
      <c r="T204" s="23" t="s">
        <v>130</v>
      </c>
    </row>
    <row r="205" ht="16.5" spans="1:20">
      <c r="A205" s="42">
        <v>203001</v>
      </c>
      <c r="B205" s="43">
        <v>1539</v>
      </c>
      <c r="C205" s="19">
        <v>3001</v>
      </c>
      <c r="D205" s="19">
        <v>2</v>
      </c>
      <c r="E205" s="19">
        <v>1049232</v>
      </c>
      <c r="F205" s="20" t="s">
        <v>111</v>
      </c>
      <c r="J205" s="26" t="s">
        <v>131</v>
      </c>
      <c r="K205" s="18" t="s">
        <v>132</v>
      </c>
      <c r="L205" s="22">
        <f>VLOOKUP(C205,[1]Sheet1!$A$1:$K$85,11,0)</f>
        <v>4</v>
      </c>
      <c r="M205" s="22">
        <f>VLOOKUP(C205,[1]Sheet1!$A$1:$K$85,3,0)</f>
        <v>3</v>
      </c>
      <c r="N205" s="22">
        <f>VLOOKUP(C205,[1]Sheet1!$A$1:$AH$85,34,0)</f>
        <v>0</v>
      </c>
      <c r="O205" s="22" t="str">
        <f>MID(VLOOKUP(C205,[1]Sheet1!$A$1:$AH$85,12,0),2,1)</f>
        <v>7</v>
      </c>
      <c r="P205" s="22" t="str">
        <f>MID(VLOOKUP(C205,[1]Sheet1!$A$1:$AH$85,12,0),4,1)</f>
        <v/>
      </c>
      <c r="Q205" s="22" t="str">
        <f>MID(VLOOKUP(C205,[1]Sheet1!$A$1:$AH$85,12,0),6,1)</f>
        <v/>
      </c>
      <c r="R205" s="22" t="str">
        <f>MID(VLOOKUP(C205,[1]Sheet1!$A$1:$AH$85,12,0),8,1)</f>
        <v/>
      </c>
      <c r="T205" s="23" t="s">
        <v>133</v>
      </c>
    </row>
    <row r="206" ht="16.5" spans="1:20">
      <c r="A206" s="42">
        <v>203003</v>
      </c>
      <c r="B206" s="43">
        <v>1541</v>
      </c>
      <c r="C206" s="19">
        <v>3003</v>
      </c>
      <c r="D206" s="19">
        <v>2</v>
      </c>
      <c r="E206" s="19">
        <v>1049224</v>
      </c>
      <c r="F206" s="20" t="s">
        <v>111</v>
      </c>
      <c r="J206" s="26" t="s">
        <v>134</v>
      </c>
      <c r="K206" s="18" t="s">
        <v>135</v>
      </c>
      <c r="L206" s="22">
        <f>VLOOKUP(C206,[1]Sheet1!$A$1:$K$85,11,0)</f>
        <v>3</v>
      </c>
      <c r="M206" s="22">
        <f>VLOOKUP(C206,[1]Sheet1!$A$1:$K$85,3,0)</f>
        <v>3</v>
      </c>
      <c r="N206" s="22">
        <f>VLOOKUP(C206,[1]Sheet1!$A$1:$AH$85,34,0)</f>
        <v>0</v>
      </c>
      <c r="O206" s="22" t="str">
        <f>MID(VLOOKUP(C206,[1]Sheet1!$A$1:$AH$85,12,0),2,1)</f>
        <v>7</v>
      </c>
      <c r="P206" s="22" t="str">
        <f>MID(VLOOKUP(C206,[1]Sheet1!$A$1:$AH$85,12,0),4,1)</f>
        <v/>
      </c>
      <c r="Q206" s="22" t="str">
        <f>MID(VLOOKUP(C206,[1]Sheet1!$A$1:$AH$85,12,0),6,1)</f>
        <v/>
      </c>
      <c r="R206" s="22" t="str">
        <f>MID(VLOOKUP(C206,[1]Sheet1!$A$1:$AH$85,12,0),8,1)</f>
        <v/>
      </c>
      <c r="T206" s="23" t="s">
        <v>136</v>
      </c>
    </row>
    <row r="207" ht="16.5" spans="1:20">
      <c r="A207" s="42">
        <v>203004</v>
      </c>
      <c r="B207" s="43">
        <v>1542</v>
      </c>
      <c r="C207" s="19">
        <v>3004</v>
      </c>
      <c r="D207" s="19">
        <v>2</v>
      </c>
      <c r="E207" s="19">
        <v>37008</v>
      </c>
      <c r="F207" s="20" t="s">
        <v>80</v>
      </c>
      <c r="J207" s="26" t="s">
        <v>137</v>
      </c>
      <c r="K207" s="18" t="s">
        <v>265</v>
      </c>
      <c r="L207" s="22">
        <f>VLOOKUP(C207,[1]Sheet1!$A$1:$K$85,11,0)</f>
        <v>4</v>
      </c>
      <c r="M207" s="22">
        <f>VLOOKUP(C207,[1]Sheet1!$A$1:$K$85,3,0)</f>
        <v>3</v>
      </c>
      <c r="N207" s="22">
        <f>VLOOKUP(C207,[1]Sheet1!$A$1:$AH$85,34,0)</f>
        <v>0</v>
      </c>
      <c r="O207" s="22" t="str">
        <f>MID(VLOOKUP(C207,[1]Sheet1!$A$1:$AH$85,12,0),2,1)</f>
        <v>2</v>
      </c>
      <c r="P207" s="22" t="str">
        <f>MID(VLOOKUP(C207,[1]Sheet1!$A$1:$AH$85,12,0),4,1)</f>
        <v/>
      </c>
      <c r="Q207" s="22" t="str">
        <f>MID(VLOOKUP(C207,[1]Sheet1!$A$1:$AH$85,12,0),6,1)</f>
        <v/>
      </c>
      <c r="R207" s="22" t="str">
        <f>MID(VLOOKUP(C207,[1]Sheet1!$A$1:$AH$85,12,0),8,1)</f>
        <v/>
      </c>
      <c r="T207" s="23" t="s">
        <v>139</v>
      </c>
    </row>
    <row r="208" ht="16.5" spans="1:20">
      <c r="A208" s="42">
        <v>203005</v>
      </c>
      <c r="B208" s="43">
        <v>1543</v>
      </c>
      <c r="C208" s="19">
        <v>3005</v>
      </c>
      <c r="D208" s="19">
        <v>2</v>
      </c>
      <c r="E208" s="19">
        <v>1049232</v>
      </c>
      <c r="F208" s="20" t="s">
        <v>111</v>
      </c>
      <c r="J208" s="26" t="s">
        <v>140</v>
      </c>
      <c r="K208" s="25" t="s">
        <v>141</v>
      </c>
      <c r="L208" s="22">
        <f>VLOOKUP(C208,[1]Sheet1!$A$1:$K$85,11,0)</f>
        <v>4</v>
      </c>
      <c r="M208" s="22">
        <f>VLOOKUP(C208,[1]Sheet1!$A$1:$K$85,3,0)</f>
        <v>3</v>
      </c>
      <c r="N208" s="22">
        <f>VLOOKUP(C208,[1]Sheet1!$A$1:$AH$85,34,0)</f>
        <v>0</v>
      </c>
      <c r="O208" s="22" t="str">
        <f>MID(VLOOKUP(C208,[1]Sheet1!$A$1:$AH$85,12,0),2,1)</f>
        <v>7</v>
      </c>
      <c r="P208" s="22" t="str">
        <f>MID(VLOOKUP(C208,[1]Sheet1!$A$1:$AH$85,12,0),4,1)</f>
        <v/>
      </c>
      <c r="Q208" s="22" t="str">
        <f>MID(VLOOKUP(C208,[1]Sheet1!$A$1:$AH$85,12,0),6,1)</f>
        <v/>
      </c>
      <c r="R208" s="22" t="str">
        <f>MID(VLOOKUP(C208,[1]Sheet1!$A$1:$AH$85,12,0),8,1)</f>
        <v/>
      </c>
      <c r="T208" s="23" t="s">
        <v>133</v>
      </c>
    </row>
    <row r="209" ht="16.5" spans="1:20">
      <c r="A209" s="42">
        <v>203006</v>
      </c>
      <c r="B209" s="43">
        <v>1544</v>
      </c>
      <c r="C209" s="19">
        <v>3006</v>
      </c>
      <c r="D209" s="19">
        <v>2</v>
      </c>
      <c r="E209" s="19">
        <v>263304</v>
      </c>
      <c r="F209" s="20" t="s">
        <v>84</v>
      </c>
      <c r="J209" s="26" t="s">
        <v>142</v>
      </c>
      <c r="K209" s="18" t="s">
        <v>143</v>
      </c>
      <c r="L209" s="22">
        <f>VLOOKUP(C209,[1]Sheet1!$A$1:$K$85,11,0)</f>
        <v>3</v>
      </c>
      <c r="M209" s="22">
        <f>VLOOKUP(C209,[1]Sheet1!$A$1:$K$85,3,0)</f>
        <v>3</v>
      </c>
      <c r="N209" s="22">
        <f>VLOOKUP(C209,[1]Sheet1!$A$1:$AH$85,34,0)</f>
        <v>0</v>
      </c>
      <c r="O209" s="22" t="str">
        <f>MID(VLOOKUP(C209,[1]Sheet1!$A$1:$AH$85,12,0),2,1)</f>
        <v>5</v>
      </c>
      <c r="P209" s="22" t="str">
        <f>MID(VLOOKUP(C209,[1]Sheet1!$A$1:$AH$85,12,0),4,1)</f>
        <v/>
      </c>
      <c r="Q209" s="22" t="str">
        <f>MID(VLOOKUP(C209,[1]Sheet1!$A$1:$AH$85,12,0),6,1)</f>
        <v/>
      </c>
      <c r="R209" s="22" t="str">
        <f>MID(VLOOKUP(C209,[1]Sheet1!$A$1:$AH$85,12,0),8,1)</f>
        <v/>
      </c>
      <c r="T209" s="23" t="s">
        <v>144</v>
      </c>
    </row>
    <row r="210" ht="16.5" spans="1:20">
      <c r="A210" s="42">
        <v>203008</v>
      </c>
      <c r="B210" s="43">
        <v>1546</v>
      </c>
      <c r="C210" s="19">
        <v>3008</v>
      </c>
      <c r="D210" s="19">
        <v>2</v>
      </c>
      <c r="E210" s="19">
        <v>36994</v>
      </c>
      <c r="F210" s="20" t="s">
        <v>80</v>
      </c>
      <c r="J210" s="26" t="s">
        <v>145</v>
      </c>
      <c r="K210" s="18" t="s">
        <v>146</v>
      </c>
      <c r="L210" s="22">
        <f>VLOOKUP(C210,[1]Sheet1!$A$1:$K$85,11,0)</f>
        <v>1</v>
      </c>
      <c r="M210" s="22">
        <f>VLOOKUP(C210,[1]Sheet1!$A$1:$K$85,3,0)</f>
        <v>3</v>
      </c>
      <c r="N210" s="22">
        <f>VLOOKUP(C210,[1]Sheet1!$A$1:$AH$85,34,0)</f>
        <v>0</v>
      </c>
      <c r="O210" s="22" t="str">
        <f>MID(VLOOKUP(C210,[1]Sheet1!$A$1:$AH$85,12,0),2,1)</f>
        <v>2</v>
      </c>
      <c r="P210" s="22" t="str">
        <f>MID(VLOOKUP(C210,[1]Sheet1!$A$1:$AH$85,12,0),4,1)</f>
        <v/>
      </c>
      <c r="Q210" s="22" t="str">
        <f>MID(VLOOKUP(C210,[1]Sheet1!$A$1:$AH$85,12,0),6,1)</f>
        <v/>
      </c>
      <c r="R210" s="22" t="str">
        <f>MID(VLOOKUP(C210,[1]Sheet1!$A$1:$AH$85,12,0),8,1)</f>
        <v/>
      </c>
      <c r="T210" s="23" t="s">
        <v>83</v>
      </c>
    </row>
    <row r="211" ht="16.5" spans="1:20">
      <c r="A211" s="42">
        <v>203009</v>
      </c>
      <c r="B211" s="43">
        <v>1547</v>
      </c>
      <c r="C211" s="19">
        <v>3009</v>
      </c>
      <c r="D211" s="19">
        <v>2</v>
      </c>
      <c r="E211" s="19">
        <v>34946</v>
      </c>
      <c r="F211" s="20" t="s">
        <v>88</v>
      </c>
      <c r="J211" s="26" t="s">
        <v>147</v>
      </c>
      <c r="K211" s="18" t="s">
        <v>148</v>
      </c>
      <c r="L211" s="22">
        <f>VLOOKUP(C211,[1]Sheet1!$A$1:$K$85,11,0)</f>
        <v>1</v>
      </c>
      <c r="M211" s="22">
        <f>VLOOKUP(C211,[1]Sheet1!$A$1:$K$85,3,0)</f>
        <v>3</v>
      </c>
      <c r="N211" s="22">
        <f>VLOOKUP(C211,[1]Sheet1!$A$1:$AH$85,34,0)</f>
        <v>0</v>
      </c>
      <c r="O211" s="22" t="str">
        <f>MID(VLOOKUP(C211,[1]Sheet1!$A$1:$AH$85,12,0),2,1)</f>
        <v>2</v>
      </c>
      <c r="P211" s="22" t="str">
        <f>MID(VLOOKUP(C211,[1]Sheet1!$A$1:$AH$85,12,0),4,1)</f>
        <v/>
      </c>
      <c r="Q211" s="22" t="str">
        <f>MID(VLOOKUP(C211,[1]Sheet1!$A$1:$AH$85,12,0),6,1)</f>
        <v/>
      </c>
      <c r="R211" s="22" t="str">
        <f>MID(VLOOKUP(C211,[1]Sheet1!$A$1:$AH$85,12,0),8,1)</f>
        <v/>
      </c>
      <c r="T211" s="23" t="s">
        <v>149</v>
      </c>
    </row>
    <row r="212" ht="16.5" spans="1:20">
      <c r="A212" s="42">
        <v>203010</v>
      </c>
      <c r="B212" s="43">
        <v>1548</v>
      </c>
      <c r="C212" s="19">
        <v>3010</v>
      </c>
      <c r="D212" s="19">
        <v>2</v>
      </c>
      <c r="E212" s="19">
        <v>49730</v>
      </c>
      <c r="F212" s="20" t="s">
        <v>111</v>
      </c>
      <c r="J212" s="26" t="s">
        <v>150</v>
      </c>
      <c r="K212" s="18" t="s">
        <v>266</v>
      </c>
      <c r="L212" s="22">
        <f>VLOOKUP(C212,[1]Sheet1!$A$1:$K$85,11,0)</f>
        <v>1</v>
      </c>
      <c r="M212" s="22">
        <f>VLOOKUP(C212,[1]Sheet1!$A$1:$K$85,3,0)</f>
        <v>2</v>
      </c>
      <c r="N212" s="22">
        <f>VLOOKUP(C212,[1]Sheet1!$A$1:$AH$85,34,0)</f>
        <v>0</v>
      </c>
      <c r="O212" s="22" t="str">
        <f>MID(VLOOKUP(C212,[1]Sheet1!$A$1:$AH$85,12,0),2,1)</f>
        <v>1</v>
      </c>
      <c r="P212" s="22" t="str">
        <f>MID(VLOOKUP(C212,[1]Sheet1!$A$1:$AH$85,12,0),4,1)</f>
        <v>2</v>
      </c>
      <c r="Q212" s="22" t="str">
        <f>MID(VLOOKUP(C212,[1]Sheet1!$A$1:$AH$85,12,0),6,1)</f>
        <v/>
      </c>
      <c r="R212" s="22" t="str">
        <f>MID(VLOOKUP(C212,[1]Sheet1!$A$1:$AH$85,12,0),8,1)</f>
        <v/>
      </c>
      <c r="T212" s="23" t="s">
        <v>152</v>
      </c>
    </row>
    <row r="213" ht="16.5" spans="1:20">
      <c r="A213" s="42">
        <v>203012</v>
      </c>
      <c r="B213" s="43">
        <v>1550</v>
      </c>
      <c r="C213" s="19">
        <v>3012</v>
      </c>
      <c r="D213" s="19">
        <v>2</v>
      </c>
      <c r="E213" s="19">
        <v>99588</v>
      </c>
      <c r="F213" s="20" t="s">
        <v>153</v>
      </c>
      <c r="J213" s="26" t="s">
        <v>154</v>
      </c>
      <c r="K213" s="18" t="s">
        <v>267</v>
      </c>
      <c r="L213" s="22">
        <f>VLOOKUP(C213,[1]Sheet1!$A$1:$K$85,11,0)</f>
        <v>2</v>
      </c>
      <c r="M213" s="22">
        <f>VLOOKUP(C213,[1]Sheet1!$A$1:$K$85,3,0)</f>
        <v>4</v>
      </c>
      <c r="N213" s="22">
        <f>VLOOKUP(C213,[1]Sheet1!$A$1:$AH$85,34,0)</f>
        <v>0</v>
      </c>
      <c r="O213" s="22" t="str">
        <f>MID(VLOOKUP(C213,[1]Sheet1!$A$1:$AH$85,12,0),2,1)</f>
        <v>3</v>
      </c>
      <c r="P213" s="22" t="str">
        <f>MID(VLOOKUP(C213,[1]Sheet1!$A$1:$AH$85,12,0),4,1)</f>
        <v>2</v>
      </c>
      <c r="Q213" s="22" t="str">
        <f>MID(VLOOKUP(C213,[1]Sheet1!$A$1:$AH$85,12,0),6,1)</f>
        <v/>
      </c>
      <c r="R213" s="22" t="str">
        <f>MID(VLOOKUP(C213,[1]Sheet1!$A$1:$AH$85,12,0),8,1)</f>
        <v/>
      </c>
      <c r="T213" s="23" t="s">
        <v>156</v>
      </c>
    </row>
    <row r="214" ht="16.5" spans="1:20">
      <c r="A214" s="42">
        <v>203013</v>
      </c>
      <c r="B214" s="43">
        <v>1551</v>
      </c>
      <c r="C214" s="19">
        <v>3013</v>
      </c>
      <c r="D214" s="19">
        <v>2</v>
      </c>
      <c r="E214" s="19">
        <v>131714</v>
      </c>
      <c r="F214" s="20" t="s">
        <v>111</v>
      </c>
      <c r="J214" s="37" t="s">
        <v>157</v>
      </c>
      <c r="K214" s="18" t="s">
        <v>158</v>
      </c>
      <c r="L214" s="22">
        <f>VLOOKUP(C214,[1]Sheet1!$A$1:$K$85,11,0)</f>
        <v>1</v>
      </c>
      <c r="M214" s="22">
        <f>VLOOKUP(C214,[1]Sheet1!$A$1:$K$85,3,0)</f>
        <v>3</v>
      </c>
      <c r="N214" s="22">
        <f>VLOOKUP(C214,[1]Sheet1!$A$1:$AH$85,34,0)</f>
        <v>0</v>
      </c>
      <c r="O214" s="22" t="str">
        <f>MID(VLOOKUP(C214,[1]Sheet1!$A$1:$AH$85,12,0),2,1)</f>
        <v>4</v>
      </c>
      <c r="P214" s="22" t="str">
        <f>MID(VLOOKUP(C214,[1]Sheet1!$A$1:$AH$85,12,0),4,1)</f>
        <v/>
      </c>
      <c r="Q214" s="22" t="str">
        <f>MID(VLOOKUP(C214,[1]Sheet1!$A$1:$AH$85,12,0),6,1)</f>
        <v/>
      </c>
      <c r="R214" s="22" t="str">
        <f>MID(VLOOKUP(C214,[1]Sheet1!$A$1:$AH$85,12,0),8,1)</f>
        <v/>
      </c>
      <c r="T214" s="23" t="s">
        <v>124</v>
      </c>
    </row>
    <row r="215" ht="16.5" spans="1:20">
      <c r="A215" s="42">
        <v>203015</v>
      </c>
      <c r="B215" s="43">
        <v>1553</v>
      </c>
      <c r="C215" s="19">
        <v>3015</v>
      </c>
      <c r="D215" s="19">
        <v>2</v>
      </c>
      <c r="E215" s="19">
        <v>66690</v>
      </c>
      <c r="F215" s="20" t="s">
        <v>84</v>
      </c>
      <c r="J215" s="26" t="s">
        <v>159</v>
      </c>
      <c r="K215" s="18" t="s">
        <v>160</v>
      </c>
      <c r="L215" s="22">
        <f>VLOOKUP(C215,[1]Sheet1!$A$1:$K$85,11,0)</f>
        <v>1</v>
      </c>
      <c r="M215" s="22">
        <f>VLOOKUP(C215,[1]Sheet1!$A$1:$K$85,3,0)</f>
        <v>3</v>
      </c>
      <c r="N215" s="22">
        <f>VLOOKUP(C215,[1]Sheet1!$A$1:$AH$85,34,0)</f>
        <v>0</v>
      </c>
      <c r="O215" s="22" t="str">
        <f>MID(VLOOKUP(C215,[1]Sheet1!$A$1:$AH$85,12,0),2,1)</f>
        <v>3</v>
      </c>
      <c r="P215" s="22" t="str">
        <f>MID(VLOOKUP(C215,[1]Sheet1!$A$1:$AH$85,12,0),4,1)</f>
        <v/>
      </c>
      <c r="Q215" s="22" t="str">
        <f>MID(VLOOKUP(C215,[1]Sheet1!$A$1:$AH$85,12,0),6,1)</f>
        <v/>
      </c>
      <c r="R215" s="22" t="str">
        <f>MID(VLOOKUP(C215,[1]Sheet1!$A$1:$AH$85,12,0),8,1)</f>
        <v/>
      </c>
      <c r="T215" s="23" t="s">
        <v>87</v>
      </c>
    </row>
    <row r="216" ht="16.5" spans="1:20">
      <c r="A216" s="42">
        <v>203016</v>
      </c>
      <c r="B216" s="43">
        <v>1554</v>
      </c>
      <c r="C216" s="19">
        <v>3016</v>
      </c>
      <c r="D216" s="19">
        <v>2</v>
      </c>
      <c r="E216" s="19">
        <v>51332</v>
      </c>
      <c r="F216" s="20" t="s">
        <v>88</v>
      </c>
      <c r="J216" s="26" t="s">
        <v>161</v>
      </c>
      <c r="K216" s="18" t="s">
        <v>162</v>
      </c>
      <c r="L216" s="22">
        <f>VLOOKUP(C216,[1]Sheet1!$A$1:$K$85,11,0)</f>
        <v>2</v>
      </c>
      <c r="M216" s="22">
        <f>VLOOKUP(C216,[1]Sheet1!$A$1:$K$85,3,0)</f>
        <v>3</v>
      </c>
      <c r="N216" s="22">
        <f>VLOOKUP(C216,[1]Sheet1!$A$1:$AH$85,34,0)</f>
        <v>0</v>
      </c>
      <c r="O216" s="22" t="str">
        <f>MID(VLOOKUP(C216,[1]Sheet1!$A$1:$AH$85,12,0),2,1)</f>
        <v>1</v>
      </c>
      <c r="P216" s="22" t="str">
        <f>MID(VLOOKUP(C216,[1]Sheet1!$A$1:$AH$85,12,0),4,1)</f>
        <v>2</v>
      </c>
      <c r="Q216" s="22" t="str">
        <f>MID(VLOOKUP(C216,[1]Sheet1!$A$1:$AH$85,12,0),6,1)</f>
        <v/>
      </c>
      <c r="R216" s="22" t="str">
        <f>MID(VLOOKUP(C216,[1]Sheet1!$A$1:$AH$85,12,0),8,1)</f>
        <v/>
      </c>
      <c r="T216" s="23" t="s">
        <v>91</v>
      </c>
    </row>
    <row r="217" ht="16.5" spans="1:20">
      <c r="A217" s="42">
        <v>203017</v>
      </c>
      <c r="B217" s="43">
        <v>1555</v>
      </c>
      <c r="C217" s="19">
        <v>3017</v>
      </c>
      <c r="D217" s="19">
        <v>2</v>
      </c>
      <c r="E217" s="19">
        <v>53380</v>
      </c>
      <c r="F217" s="20" t="s">
        <v>80</v>
      </c>
      <c r="J217" s="26" t="s">
        <v>163</v>
      </c>
      <c r="K217" s="18" t="s">
        <v>162</v>
      </c>
      <c r="L217" s="22">
        <f>VLOOKUP(C217,[1]Sheet1!$A$1:$K$85,11,0)</f>
        <v>2</v>
      </c>
      <c r="M217" s="22">
        <f>VLOOKUP(C217,[1]Sheet1!$A$1:$K$85,3,0)</f>
        <v>3</v>
      </c>
      <c r="N217" s="22">
        <f>VLOOKUP(C217,[1]Sheet1!$A$1:$AH$85,34,0)</f>
        <v>0</v>
      </c>
      <c r="O217" s="22" t="str">
        <f>MID(VLOOKUP(C217,[1]Sheet1!$A$1:$AH$85,12,0),2,1)</f>
        <v>1</v>
      </c>
      <c r="P217" s="22" t="str">
        <f>MID(VLOOKUP(C217,[1]Sheet1!$A$1:$AH$85,12,0),4,1)</f>
        <v>2</v>
      </c>
      <c r="Q217" s="22" t="str">
        <f>MID(VLOOKUP(C217,[1]Sheet1!$A$1:$AH$85,12,0),6,1)</f>
        <v/>
      </c>
      <c r="R217" s="22" t="str">
        <f>MID(VLOOKUP(C217,[1]Sheet1!$A$1:$AH$85,12,0),8,1)</f>
        <v/>
      </c>
      <c r="T217" s="23" t="s">
        <v>164</v>
      </c>
    </row>
    <row r="218" ht="16.5" spans="1:20">
      <c r="A218" s="42">
        <v>203018</v>
      </c>
      <c r="B218" s="43">
        <v>1556</v>
      </c>
      <c r="C218" s="19">
        <v>3018</v>
      </c>
      <c r="D218" s="19">
        <v>2</v>
      </c>
      <c r="E218" s="19">
        <v>18704</v>
      </c>
      <c r="F218" s="20" t="s">
        <v>165</v>
      </c>
      <c r="J218" s="26" t="s">
        <v>166</v>
      </c>
      <c r="K218" s="18" t="s">
        <v>167</v>
      </c>
      <c r="L218" s="22">
        <f>VLOOKUP(C218,[1]Sheet1!$A$1:$K$85,11,0)</f>
        <v>4</v>
      </c>
      <c r="M218" s="22">
        <f>VLOOKUP(C218,[1]Sheet1!$A$1:$K$85,3,0)</f>
        <v>4</v>
      </c>
      <c r="N218" s="22">
        <f>VLOOKUP(C218,[1]Sheet1!$A$1:$AH$85,34,0)</f>
        <v>0</v>
      </c>
      <c r="O218" s="22" t="str">
        <f>MID(VLOOKUP(C218,[1]Sheet1!$A$1:$AH$85,12,0),2,1)</f>
        <v>1</v>
      </c>
      <c r="P218" s="22" t="str">
        <f>MID(VLOOKUP(C218,[1]Sheet1!$A$1:$AH$85,12,0),4,1)</f>
        <v/>
      </c>
      <c r="Q218" s="22" t="str">
        <f>MID(VLOOKUP(C218,[1]Sheet1!$A$1:$AH$85,12,0),6,1)</f>
        <v/>
      </c>
      <c r="R218" s="22" t="str">
        <f>MID(VLOOKUP(C218,[1]Sheet1!$A$1:$AH$85,12,0),8,1)</f>
        <v/>
      </c>
      <c r="T218" s="23" t="s">
        <v>168</v>
      </c>
    </row>
    <row r="219" ht="16.5" spans="1:20">
      <c r="A219" s="42">
        <v>203019</v>
      </c>
      <c r="B219" s="43">
        <v>1557</v>
      </c>
      <c r="C219" s="19">
        <v>3019</v>
      </c>
      <c r="D219" s="19">
        <v>2</v>
      </c>
      <c r="E219" s="19">
        <v>66692</v>
      </c>
      <c r="F219" s="20" t="s">
        <v>84</v>
      </c>
      <c r="J219" s="26" t="s">
        <v>169</v>
      </c>
      <c r="K219" s="18" t="s">
        <v>268</v>
      </c>
      <c r="L219" s="22">
        <f>VLOOKUP(C219,[1]Sheet1!$A$1:$K$85,11,0)</f>
        <v>2</v>
      </c>
      <c r="M219" s="22">
        <f>VLOOKUP(C219,[1]Sheet1!$A$1:$K$85,3,0)</f>
        <v>3</v>
      </c>
      <c r="N219" s="22">
        <f>VLOOKUP(C219,[1]Sheet1!$A$1:$AH$85,34,0)</f>
        <v>0</v>
      </c>
      <c r="O219" s="22" t="str">
        <f>MID(VLOOKUP(C219,[1]Sheet1!$A$1:$AH$85,12,0),2,1)</f>
        <v>3</v>
      </c>
      <c r="P219" s="22" t="str">
        <f>MID(VLOOKUP(C219,[1]Sheet1!$A$1:$AH$85,12,0),4,1)</f>
        <v/>
      </c>
      <c r="Q219" s="22" t="str">
        <f>MID(VLOOKUP(C219,[1]Sheet1!$A$1:$AH$85,12,0),6,1)</f>
        <v/>
      </c>
      <c r="R219" s="22" t="str">
        <f>MID(VLOOKUP(C219,[1]Sheet1!$A$1:$AH$85,12,0),8,1)</f>
        <v/>
      </c>
      <c r="T219" s="23" t="s">
        <v>94</v>
      </c>
    </row>
    <row r="220" ht="16.5" spans="1:20">
      <c r="A220" s="42">
        <v>203020</v>
      </c>
      <c r="B220" s="43">
        <v>1558</v>
      </c>
      <c r="C220" s="19">
        <v>4017</v>
      </c>
      <c r="D220" s="19">
        <v>2</v>
      </c>
      <c r="E220" s="19">
        <v>53506</v>
      </c>
      <c r="F220" s="20" t="s">
        <v>84</v>
      </c>
      <c r="J220" s="35" t="s">
        <v>202</v>
      </c>
      <c r="K220" s="18" t="s">
        <v>162</v>
      </c>
      <c r="L220" s="22">
        <f>VLOOKUP(C220,[1]Sheet1!$A$1:$K$85,11,0)</f>
        <v>1</v>
      </c>
      <c r="M220" s="22">
        <f>VLOOKUP(C220,[1]Sheet1!$A$1:$K$85,3,0)</f>
        <v>4</v>
      </c>
      <c r="N220" s="22">
        <f>VLOOKUP(C220,[1]Sheet1!$A$1:$AH$85,34,0)</f>
        <v>0</v>
      </c>
      <c r="O220" s="22" t="str">
        <f>MID(VLOOKUP(C220,[1]Sheet1!$A$1:$AH$85,12,0),2,1)</f>
        <v>1</v>
      </c>
      <c r="P220" s="22" t="str">
        <f>MID(VLOOKUP(C220,[1]Sheet1!$A$1:$AH$85,12,0),4,1)</f>
        <v>2</v>
      </c>
      <c r="Q220" s="22" t="str">
        <f>MID(VLOOKUP(C220,[1]Sheet1!$A$1:$AH$85,12,0),6,1)</f>
        <v/>
      </c>
      <c r="R220" s="22" t="str">
        <f>MID(VLOOKUP(C220,[1]Sheet1!$A$1:$AH$85,12,0),8,1)</f>
        <v/>
      </c>
      <c r="T220" s="23" t="s">
        <v>203</v>
      </c>
    </row>
    <row r="221" ht="16.5" spans="1:20">
      <c r="A221" s="42">
        <v>203021</v>
      </c>
      <c r="B221" s="43">
        <v>1559</v>
      </c>
      <c r="C221" s="19">
        <v>3021</v>
      </c>
      <c r="D221" s="19">
        <v>2</v>
      </c>
      <c r="E221" s="19">
        <v>1069192</v>
      </c>
      <c r="F221" s="20" t="s">
        <v>80</v>
      </c>
      <c r="J221" s="26" t="s">
        <v>171</v>
      </c>
      <c r="K221" s="18" t="s">
        <v>172</v>
      </c>
      <c r="L221" s="22">
        <f>VLOOKUP(C221,[1]Sheet1!$A$1:$K$85,11,0)</f>
        <v>3</v>
      </c>
      <c r="M221" s="22">
        <f>VLOOKUP(C221,[1]Sheet1!$A$1:$K$85,3,0)</f>
        <v>3</v>
      </c>
      <c r="N221" s="22">
        <f>VLOOKUP(C221,[1]Sheet1!$A$1:$AH$85,34,0)</f>
        <v>0</v>
      </c>
      <c r="O221" s="22" t="str">
        <f>MID(VLOOKUP(C221,[1]Sheet1!$A$1:$AH$85,12,0),2,1)</f>
        <v>1</v>
      </c>
      <c r="P221" s="22" t="str">
        <f>MID(VLOOKUP(C221,[1]Sheet1!$A$1:$AH$85,12,0),4,1)</f>
        <v>7</v>
      </c>
      <c r="Q221" s="22" t="str">
        <f>MID(VLOOKUP(C221,[1]Sheet1!$A$1:$AH$85,12,0),6,1)</f>
        <v/>
      </c>
      <c r="R221" s="22" t="str">
        <f>MID(VLOOKUP(C221,[1]Sheet1!$A$1:$AH$85,12,0),8,1)</f>
        <v/>
      </c>
      <c r="T221" s="23" t="s">
        <v>110</v>
      </c>
    </row>
    <row r="222" ht="16.5" spans="1:20">
      <c r="A222" s="42">
        <v>204000</v>
      </c>
      <c r="B222" s="43">
        <v>1560</v>
      </c>
      <c r="C222" s="19">
        <v>4000</v>
      </c>
      <c r="D222" s="19">
        <v>2</v>
      </c>
      <c r="E222" s="19">
        <v>574600</v>
      </c>
      <c r="F222" s="20" t="s">
        <v>84</v>
      </c>
      <c r="J222" s="35" t="s">
        <v>173</v>
      </c>
      <c r="K222" s="18" t="s">
        <v>269</v>
      </c>
      <c r="L222" s="22">
        <f>VLOOKUP(C222,[1]Sheet1!$A$1:$K$85,11,0)</f>
        <v>3</v>
      </c>
      <c r="M222" s="22">
        <f>VLOOKUP(C222,[1]Sheet1!$A$1:$K$85,3,0)</f>
        <v>3</v>
      </c>
      <c r="N222" s="22">
        <f>VLOOKUP(C222,[1]Sheet1!$A$1:$AH$85,34,0)</f>
        <v>0</v>
      </c>
      <c r="O222" s="22" t="str">
        <f>MID(VLOOKUP(C222,[1]Sheet1!$A$1:$AH$85,12,0),2,1)</f>
        <v>1</v>
      </c>
      <c r="P222" s="22" t="str">
        <f>MID(VLOOKUP(C222,[1]Sheet1!$A$1:$AH$85,12,0),4,1)</f>
        <v>2</v>
      </c>
      <c r="Q222" s="22" t="str">
        <f>MID(VLOOKUP(C222,[1]Sheet1!$A$1:$AH$85,12,0),6,1)</f>
        <v/>
      </c>
      <c r="R222" s="22" t="str">
        <f>MID(VLOOKUP(C222,[1]Sheet1!$A$1:$AH$85,12,0),8,1)</f>
        <v/>
      </c>
      <c r="T222" s="23" t="s">
        <v>144</v>
      </c>
    </row>
    <row r="223" ht="16.5" spans="1:20">
      <c r="A223" s="42">
        <v>204001</v>
      </c>
      <c r="B223" s="43">
        <v>1561</v>
      </c>
      <c r="C223" s="19">
        <v>4001</v>
      </c>
      <c r="D223" s="19">
        <v>2</v>
      </c>
      <c r="E223" s="19">
        <v>1069316</v>
      </c>
      <c r="F223" s="20" t="s">
        <v>175</v>
      </c>
      <c r="J223" s="35" t="s">
        <v>176</v>
      </c>
      <c r="K223" s="18" t="s">
        <v>270</v>
      </c>
      <c r="L223" s="22">
        <f>VLOOKUP(C223,[1]Sheet1!$A$1:$K$85,11,0)</f>
        <v>2</v>
      </c>
      <c r="M223" s="22">
        <f>VLOOKUP(C223,[1]Sheet1!$A$1:$K$85,3,0)</f>
        <v>4</v>
      </c>
      <c r="N223" s="22">
        <f>VLOOKUP(C223,[1]Sheet1!$A$1:$AH$85,34,0)</f>
        <v>0</v>
      </c>
      <c r="O223" s="22" t="str">
        <f>MID(VLOOKUP(C223,[1]Sheet1!$A$1:$AH$85,12,0),2,1)</f>
        <v>1</v>
      </c>
      <c r="P223" s="22" t="str">
        <f>MID(VLOOKUP(C223,[1]Sheet1!$A$1:$AH$85,12,0),4,1)</f>
        <v>7</v>
      </c>
      <c r="Q223" s="22" t="str">
        <f>MID(VLOOKUP(C223,[1]Sheet1!$A$1:$AH$85,12,0),6,1)</f>
        <v/>
      </c>
      <c r="R223" s="22" t="str">
        <f>MID(VLOOKUP(C223,[1]Sheet1!$A$1:$AH$85,12,0),8,1)</f>
        <v/>
      </c>
      <c r="T223" s="23" t="s">
        <v>178</v>
      </c>
    </row>
    <row r="224" ht="16.5" spans="1:20">
      <c r="A224" s="42">
        <v>204002</v>
      </c>
      <c r="B224" s="43">
        <v>1562</v>
      </c>
      <c r="C224" s="19">
        <v>4002</v>
      </c>
      <c r="D224" s="19">
        <v>2</v>
      </c>
      <c r="E224" s="19">
        <v>1082512</v>
      </c>
      <c r="F224" s="20" t="s">
        <v>84</v>
      </c>
      <c r="J224" s="35" t="s">
        <v>179</v>
      </c>
      <c r="K224" s="18" t="s">
        <v>180</v>
      </c>
      <c r="L224" s="22">
        <f>VLOOKUP(C224,[1]Sheet1!$A$1:$K$85,11,0)</f>
        <v>4</v>
      </c>
      <c r="M224" s="22">
        <f>VLOOKUP(C224,[1]Sheet1!$A$1:$K$85,3,0)</f>
        <v>3</v>
      </c>
      <c r="N224" s="22">
        <f>VLOOKUP(C224,[1]Sheet1!$A$1:$AH$85,34,0)</f>
        <v>0</v>
      </c>
      <c r="O224" s="22" t="str">
        <f>MID(VLOOKUP(C224,[1]Sheet1!$A$1:$AH$85,12,0),2,1)</f>
        <v>2</v>
      </c>
      <c r="P224" s="22" t="str">
        <f>MID(VLOOKUP(C224,[1]Sheet1!$A$1:$AH$85,12,0),4,1)</f>
        <v>7</v>
      </c>
      <c r="Q224" s="22" t="str">
        <f>MID(VLOOKUP(C224,[1]Sheet1!$A$1:$AH$85,12,0),6,1)</f>
        <v/>
      </c>
      <c r="R224" s="22" t="str">
        <f>MID(VLOOKUP(C224,[1]Sheet1!$A$1:$AH$85,12,0),8,1)</f>
        <v/>
      </c>
      <c r="T224" s="23" t="s">
        <v>130</v>
      </c>
    </row>
    <row r="225" ht="16.5" spans="1:20">
      <c r="A225" s="42">
        <v>204004</v>
      </c>
      <c r="B225" s="43">
        <v>1564</v>
      </c>
      <c r="C225" s="19">
        <v>4004</v>
      </c>
      <c r="D225" s="19">
        <v>2</v>
      </c>
      <c r="E225" s="19">
        <v>574608</v>
      </c>
      <c r="F225" s="20" t="s">
        <v>84</v>
      </c>
      <c r="J225" s="35" t="s">
        <v>181</v>
      </c>
      <c r="K225" s="18" t="s">
        <v>182</v>
      </c>
      <c r="L225" s="22">
        <f>VLOOKUP(C225,[1]Sheet1!$A$1:$K$85,11,0)</f>
        <v>4</v>
      </c>
      <c r="M225" s="22">
        <f>VLOOKUP(C225,[1]Sheet1!$A$1:$K$85,3,0)</f>
        <v>3</v>
      </c>
      <c r="N225" s="22">
        <f>VLOOKUP(C225,[1]Sheet1!$A$1:$AH$85,34,0)</f>
        <v>0</v>
      </c>
      <c r="O225" s="22" t="str">
        <f>MID(VLOOKUP(C225,[1]Sheet1!$A$1:$AH$85,12,0),2,1)</f>
        <v>1</v>
      </c>
      <c r="P225" s="22" t="str">
        <f>MID(VLOOKUP(C225,[1]Sheet1!$A$1:$AH$85,12,0),4,1)</f>
        <v>2</v>
      </c>
      <c r="Q225" s="22" t="str">
        <f>MID(VLOOKUP(C225,[1]Sheet1!$A$1:$AH$85,12,0),6,1)</f>
        <v/>
      </c>
      <c r="R225" s="22" t="str">
        <f>MID(VLOOKUP(C225,[1]Sheet1!$A$1:$AH$85,12,0),8,1)</f>
        <v/>
      </c>
      <c r="T225" s="23" t="s">
        <v>130</v>
      </c>
    </row>
    <row r="226" ht="16.5" spans="1:20">
      <c r="A226" s="42">
        <v>204005</v>
      </c>
      <c r="B226" s="43">
        <v>1565</v>
      </c>
      <c r="C226" s="19">
        <v>4005</v>
      </c>
      <c r="D226" s="19">
        <v>2</v>
      </c>
      <c r="E226" s="19">
        <v>1100040</v>
      </c>
      <c r="F226" s="20" t="s">
        <v>165</v>
      </c>
      <c r="J226" s="35" t="s">
        <v>183</v>
      </c>
      <c r="K226" s="18" t="s">
        <v>184</v>
      </c>
      <c r="L226" s="22">
        <f>VLOOKUP(C226,[1]Sheet1!$A$1:$K$85,11,0)</f>
        <v>3</v>
      </c>
      <c r="M226" s="22">
        <f>VLOOKUP(C226,[1]Sheet1!$A$1:$K$85,3,0)</f>
        <v>4</v>
      </c>
      <c r="N226" s="22">
        <f>VLOOKUP(C226,[1]Sheet1!$A$1:$AH$85,34,0)</f>
        <v>0</v>
      </c>
      <c r="O226" s="22" t="str">
        <f>MID(VLOOKUP(C226,[1]Sheet1!$A$1:$AH$85,12,0),2,1)</f>
        <v>1</v>
      </c>
      <c r="P226" s="22" t="str">
        <f>MID(VLOOKUP(C226,[1]Sheet1!$A$1:$AH$85,12,0),4,1)</f>
        <v>2</v>
      </c>
      <c r="Q226" s="22" t="str">
        <f>MID(VLOOKUP(C226,[1]Sheet1!$A$1:$AH$85,12,0),6,1)</f>
        <v/>
      </c>
      <c r="R226" s="22" t="str">
        <f>MID(VLOOKUP(C226,[1]Sheet1!$A$1:$AH$85,12,0),8,1)</f>
        <v/>
      </c>
      <c r="T226" s="23" t="s">
        <v>185</v>
      </c>
    </row>
    <row r="227" ht="16.5" spans="1:20">
      <c r="A227" s="42">
        <v>204006</v>
      </c>
      <c r="B227" s="43">
        <v>1566</v>
      </c>
      <c r="C227" s="19">
        <v>4006</v>
      </c>
      <c r="D227" s="19">
        <v>2</v>
      </c>
      <c r="E227" s="19">
        <v>1102088</v>
      </c>
      <c r="F227" s="20" t="s">
        <v>175</v>
      </c>
      <c r="J227" s="35" t="s">
        <v>186</v>
      </c>
      <c r="K227" s="18" t="s">
        <v>187</v>
      </c>
      <c r="L227" s="22">
        <f>VLOOKUP(C227,[1]Sheet1!$A$1:$K$85,11,0)</f>
        <v>3</v>
      </c>
      <c r="M227" s="22">
        <f>VLOOKUP(C227,[1]Sheet1!$A$1:$K$85,3,0)</f>
        <v>4</v>
      </c>
      <c r="N227" s="22">
        <f>VLOOKUP(C227,[1]Sheet1!$A$1:$AH$85,34,0)</f>
        <v>0</v>
      </c>
      <c r="O227" s="22" t="str">
        <f>MID(VLOOKUP(C227,[1]Sheet1!$A$1:$AH$85,12,0),2,1)</f>
        <v>1</v>
      </c>
      <c r="P227" s="22" t="str">
        <f>MID(VLOOKUP(C227,[1]Sheet1!$A$1:$AH$85,12,0),4,1)</f>
        <v>2</v>
      </c>
      <c r="Q227" s="22" t="str">
        <f>MID(VLOOKUP(C227,[1]Sheet1!$A$1:$AH$85,12,0),6,1)</f>
        <v/>
      </c>
      <c r="R227" s="22" t="str">
        <f>MID(VLOOKUP(C227,[1]Sheet1!$A$1:$AH$85,12,0),8,1)</f>
        <v/>
      </c>
      <c r="T227" s="23" t="s">
        <v>188</v>
      </c>
    </row>
    <row r="228" ht="16.5" spans="1:20">
      <c r="A228" s="42">
        <v>204007</v>
      </c>
      <c r="B228" s="43">
        <v>1567</v>
      </c>
      <c r="C228" s="19">
        <v>4007</v>
      </c>
      <c r="D228" s="19">
        <v>2</v>
      </c>
      <c r="E228" s="19">
        <v>83080</v>
      </c>
      <c r="F228" s="20" t="s">
        <v>84</v>
      </c>
      <c r="J228" s="35" t="s">
        <v>189</v>
      </c>
      <c r="K228" s="18" t="s">
        <v>190</v>
      </c>
      <c r="L228" s="22">
        <f>VLOOKUP(C228,[1]Sheet1!$A$1:$K$85,11,0)</f>
        <v>3</v>
      </c>
      <c r="M228" s="22">
        <f>VLOOKUP(C228,[1]Sheet1!$A$1:$K$85,3,0)</f>
        <v>3</v>
      </c>
      <c r="N228" s="22">
        <f>VLOOKUP(C228,[1]Sheet1!$A$1:$AH$85,34,0)</f>
        <v>0</v>
      </c>
      <c r="O228" s="22" t="str">
        <f>MID(VLOOKUP(C228,[1]Sheet1!$A$1:$AH$85,12,0),2,1)</f>
        <v>3</v>
      </c>
      <c r="P228" s="22" t="str">
        <f>MID(VLOOKUP(C228,[1]Sheet1!$A$1:$AH$85,12,0),4,1)</f>
        <v>1</v>
      </c>
      <c r="Q228" s="22" t="str">
        <f>MID(VLOOKUP(C228,[1]Sheet1!$A$1:$AH$85,12,0),6,1)</f>
        <v/>
      </c>
      <c r="R228" s="22" t="str">
        <f>MID(VLOOKUP(C228,[1]Sheet1!$A$1:$AH$85,12,0),8,1)</f>
        <v/>
      </c>
      <c r="T228" s="23" t="s">
        <v>144</v>
      </c>
    </row>
    <row r="229" ht="16.5" spans="1:20">
      <c r="A229" s="42">
        <v>204009</v>
      </c>
      <c r="B229" s="43">
        <v>1569</v>
      </c>
      <c r="C229" s="19">
        <v>4009</v>
      </c>
      <c r="D229" s="19">
        <v>2</v>
      </c>
      <c r="E229" s="19">
        <v>1626384</v>
      </c>
      <c r="F229" s="20" t="s">
        <v>175</v>
      </c>
      <c r="J229" s="35" t="s">
        <v>191</v>
      </c>
      <c r="K229" s="18" t="s">
        <v>192</v>
      </c>
      <c r="L229" s="22">
        <f>VLOOKUP(C229,[1]Sheet1!$A$1:$K$85,11,0)</f>
        <v>4</v>
      </c>
      <c r="M229" s="22">
        <f>VLOOKUP(C229,[1]Sheet1!$A$1:$K$85,3,0)</f>
        <v>4</v>
      </c>
      <c r="N229" s="22">
        <f>VLOOKUP(C229,[1]Sheet1!$A$1:$AH$85,34,0)</f>
        <v>0</v>
      </c>
      <c r="O229" s="22" t="str">
        <f>MID(VLOOKUP(C229,[1]Sheet1!$A$1:$AH$85,12,0),2,1)</f>
        <v>1</v>
      </c>
      <c r="P229" s="22" t="str">
        <f>MID(VLOOKUP(C229,[1]Sheet1!$A$1:$AH$85,12,0),4,1)</f>
        <v>6</v>
      </c>
      <c r="Q229" s="22" t="str">
        <f>MID(VLOOKUP(C229,[1]Sheet1!$A$1:$AH$85,12,0),6,1)</f>
        <v/>
      </c>
      <c r="R229" s="22" t="str">
        <f>MID(VLOOKUP(C229,[1]Sheet1!$A$1:$AH$85,12,0),8,1)</f>
        <v/>
      </c>
      <c r="T229" s="23" t="s">
        <v>193</v>
      </c>
    </row>
    <row r="230" ht="16.5" spans="1:20">
      <c r="A230" s="42">
        <v>204012</v>
      </c>
      <c r="B230" s="43">
        <v>1572</v>
      </c>
      <c r="C230" s="19">
        <v>4012</v>
      </c>
      <c r="D230" s="19">
        <v>2</v>
      </c>
      <c r="E230" s="19">
        <v>1098376</v>
      </c>
      <c r="F230" s="20" t="s">
        <v>111</v>
      </c>
      <c r="J230" s="35" t="s">
        <v>194</v>
      </c>
      <c r="K230" s="18" t="s">
        <v>195</v>
      </c>
      <c r="L230" s="22">
        <f>VLOOKUP(C230,[1]Sheet1!$A$1:$K$85,11,0)</f>
        <v>3</v>
      </c>
      <c r="M230" s="22">
        <f>VLOOKUP(C230,[1]Sheet1!$A$1:$K$85,3,0)</f>
        <v>3</v>
      </c>
      <c r="N230" s="22">
        <f>VLOOKUP(C230,[1]Sheet1!$A$1:$AH$85,34,0)</f>
        <v>0</v>
      </c>
      <c r="O230" s="22" t="str">
        <f>MID(VLOOKUP(C230,[1]Sheet1!$A$1:$AH$85,12,0),2,1)</f>
        <v>1</v>
      </c>
      <c r="P230" s="22" t="str">
        <f>MID(VLOOKUP(C230,[1]Sheet1!$A$1:$AH$85,12,0),4,1)</f>
        <v>7</v>
      </c>
      <c r="Q230" s="22" t="str">
        <f>MID(VLOOKUP(C230,[1]Sheet1!$A$1:$AH$85,12,0),6,1)</f>
        <v/>
      </c>
      <c r="R230" s="22" t="str">
        <f>MID(VLOOKUP(C230,[1]Sheet1!$A$1:$AH$85,12,0),8,1)</f>
        <v/>
      </c>
      <c r="T230" s="23" t="s">
        <v>136</v>
      </c>
    </row>
    <row r="231" ht="16.5" spans="1:20">
      <c r="A231" s="42">
        <v>204014</v>
      </c>
      <c r="B231" s="43">
        <v>1574</v>
      </c>
      <c r="C231" s="19">
        <v>4014</v>
      </c>
      <c r="D231" s="19">
        <v>2</v>
      </c>
      <c r="E231" s="19">
        <v>1376900</v>
      </c>
      <c r="F231" s="20" t="s">
        <v>111</v>
      </c>
      <c r="J231" s="35" t="s">
        <v>196</v>
      </c>
      <c r="K231" s="18" t="s">
        <v>197</v>
      </c>
      <c r="L231" s="22">
        <f>VLOOKUP(C231,[1]Sheet1!$A$1:$K$85,11,0)</f>
        <v>2</v>
      </c>
      <c r="M231" s="22">
        <f>VLOOKUP(C231,[1]Sheet1!$A$1:$K$85,3,0)</f>
        <v>3</v>
      </c>
      <c r="N231" s="22">
        <f>VLOOKUP(C231,[1]Sheet1!$A$1:$AH$85,34,0)</f>
        <v>0</v>
      </c>
      <c r="O231" s="22" t="str">
        <f>MID(VLOOKUP(C231,[1]Sheet1!$A$1:$AH$85,12,0),2,1)</f>
        <v>3</v>
      </c>
      <c r="P231" s="22" t="str">
        <f>MID(VLOOKUP(C231,[1]Sheet1!$A$1:$AH$85,12,0),4,1)</f>
        <v>5</v>
      </c>
      <c r="Q231" s="22" t="str">
        <f>MID(VLOOKUP(C231,[1]Sheet1!$A$1:$AH$85,12,0),6,1)</f>
        <v/>
      </c>
      <c r="R231" s="22" t="str">
        <f>MID(VLOOKUP(C231,[1]Sheet1!$A$1:$AH$85,12,0),8,1)</f>
        <v/>
      </c>
      <c r="T231" s="23" t="s">
        <v>114</v>
      </c>
    </row>
    <row r="232" ht="16.5" spans="1:20">
      <c r="A232" s="42">
        <v>204015</v>
      </c>
      <c r="B232" s="43">
        <v>1575</v>
      </c>
      <c r="C232" s="19">
        <v>4015</v>
      </c>
      <c r="D232" s="19">
        <v>2</v>
      </c>
      <c r="E232" s="19">
        <v>577668</v>
      </c>
      <c r="F232" s="20" t="s">
        <v>80</v>
      </c>
      <c r="J232" s="35" t="s">
        <v>198</v>
      </c>
      <c r="K232" s="18" t="s">
        <v>199</v>
      </c>
      <c r="L232" s="22">
        <f>VLOOKUP(C232,[1]Sheet1!$A$1:$K$85,11,0)</f>
        <v>2</v>
      </c>
      <c r="M232" s="22">
        <f>VLOOKUP(C232,[1]Sheet1!$A$1:$K$85,3,0)</f>
        <v>3</v>
      </c>
      <c r="N232" s="22">
        <f>VLOOKUP(C232,[1]Sheet1!$A$1:$AH$85,34,0)</f>
        <v>0</v>
      </c>
      <c r="O232" s="22" t="str">
        <f>MID(VLOOKUP(C232,[1]Sheet1!$A$1:$AH$85,12,0),2,1)</f>
        <v>1</v>
      </c>
      <c r="P232" s="22" t="str">
        <f>MID(VLOOKUP(C232,[1]Sheet1!$A$1:$AH$85,12,0),4,1)</f>
        <v>6</v>
      </c>
      <c r="Q232" s="22" t="str">
        <f>MID(VLOOKUP(C232,[1]Sheet1!$A$1:$AH$85,12,0),6,1)</f>
        <v/>
      </c>
      <c r="R232" s="22" t="str">
        <f>MID(VLOOKUP(C232,[1]Sheet1!$A$1:$AH$85,12,0),8,1)</f>
        <v/>
      </c>
      <c r="T232" s="23" t="s">
        <v>164</v>
      </c>
    </row>
    <row r="233" ht="16.5" spans="1:20">
      <c r="A233" s="42">
        <v>204016</v>
      </c>
      <c r="B233" s="43">
        <v>1576</v>
      </c>
      <c r="C233" s="19">
        <v>4016</v>
      </c>
      <c r="D233" s="19">
        <v>2</v>
      </c>
      <c r="E233" s="19">
        <v>115344</v>
      </c>
      <c r="F233" s="20" t="s">
        <v>111</v>
      </c>
      <c r="J233" s="35" t="s">
        <v>200</v>
      </c>
      <c r="K233" s="18" t="s">
        <v>201</v>
      </c>
      <c r="L233" s="22">
        <f>VLOOKUP(C233,[1]Sheet1!$A$1:$K$85,11,0)</f>
        <v>4</v>
      </c>
      <c r="M233" s="22">
        <f>VLOOKUP(C233,[1]Sheet1!$A$1:$K$85,3,0)</f>
        <v>3</v>
      </c>
      <c r="N233" s="22">
        <f>VLOOKUP(C233,[1]Sheet1!$A$1:$AH$85,34,0)</f>
        <v>0</v>
      </c>
      <c r="O233" s="22" t="str">
        <f>MID(VLOOKUP(C233,[1]Sheet1!$A$1:$AH$85,12,0),2,1)</f>
        <v>1</v>
      </c>
      <c r="P233" s="22" t="str">
        <f>MID(VLOOKUP(C233,[1]Sheet1!$A$1:$AH$85,12,0),4,1)</f>
        <v>3</v>
      </c>
      <c r="Q233" s="22" t="str">
        <f>MID(VLOOKUP(C233,[1]Sheet1!$A$1:$AH$85,12,0),6,1)</f>
        <v/>
      </c>
      <c r="R233" s="22" t="str">
        <f>MID(VLOOKUP(C233,[1]Sheet1!$A$1:$AH$85,12,0),8,1)</f>
        <v/>
      </c>
      <c r="T233" s="23" t="s">
        <v>133</v>
      </c>
    </row>
    <row r="234" ht="16.5" spans="1:20">
      <c r="A234" s="42">
        <v>204017</v>
      </c>
      <c r="B234" s="43">
        <v>1577</v>
      </c>
      <c r="C234" s="19">
        <v>4017</v>
      </c>
      <c r="D234" s="19">
        <v>2</v>
      </c>
      <c r="E234" s="19">
        <v>53506</v>
      </c>
      <c r="F234" s="20" t="s">
        <v>175</v>
      </c>
      <c r="J234" s="35" t="s">
        <v>202</v>
      </c>
      <c r="K234" s="18" t="s">
        <v>162</v>
      </c>
      <c r="L234" s="22">
        <f>VLOOKUP(C234,[1]Sheet1!$A$1:$K$85,11,0)</f>
        <v>1</v>
      </c>
      <c r="M234" s="22">
        <f>VLOOKUP(C234,[1]Sheet1!$A$1:$K$85,3,0)</f>
        <v>4</v>
      </c>
      <c r="N234" s="22">
        <f>VLOOKUP(C234,[1]Sheet1!$A$1:$AH$85,34,0)</f>
        <v>0</v>
      </c>
      <c r="O234" s="22" t="str">
        <f>MID(VLOOKUP(C234,[1]Sheet1!$A$1:$AH$85,12,0),2,1)</f>
        <v>1</v>
      </c>
      <c r="P234" s="22" t="str">
        <f>MID(VLOOKUP(C234,[1]Sheet1!$A$1:$AH$85,12,0),4,1)</f>
        <v>2</v>
      </c>
      <c r="Q234" s="22" t="str">
        <f>MID(VLOOKUP(C234,[1]Sheet1!$A$1:$AH$85,12,0),6,1)</f>
        <v/>
      </c>
      <c r="R234" s="22" t="str">
        <f>MID(VLOOKUP(C234,[1]Sheet1!$A$1:$AH$85,12,0),8,1)</f>
        <v/>
      </c>
      <c r="T234" s="23" t="s">
        <v>203</v>
      </c>
    </row>
    <row r="235" ht="16.5" spans="1:20">
      <c r="A235" s="42">
        <v>204018</v>
      </c>
      <c r="B235" s="43">
        <v>1578</v>
      </c>
      <c r="C235" s="19">
        <v>4018</v>
      </c>
      <c r="D235" s="19">
        <v>2</v>
      </c>
      <c r="E235" s="19">
        <v>1589896</v>
      </c>
      <c r="F235" s="20" t="s">
        <v>111</v>
      </c>
      <c r="J235" s="35" t="s">
        <v>204</v>
      </c>
      <c r="K235" s="18" t="s">
        <v>205</v>
      </c>
      <c r="L235" s="22">
        <f>VLOOKUP(C235,[1]Sheet1!$A$1:$K$85,11,0)</f>
        <v>3</v>
      </c>
      <c r="M235" s="22">
        <f>VLOOKUP(C235,[1]Sheet1!$A$1:$K$85,3,0)</f>
        <v>3</v>
      </c>
      <c r="N235" s="22">
        <f>VLOOKUP(C235,[1]Sheet1!$A$1:$AH$85,34,0)</f>
        <v>0</v>
      </c>
      <c r="O235" s="22" t="str">
        <f>MID(VLOOKUP(C235,[1]Sheet1!$A$1:$AH$85,12,0),2,1)</f>
        <v>1</v>
      </c>
      <c r="P235" s="22" t="str">
        <f>MID(VLOOKUP(C235,[1]Sheet1!$A$1:$AH$85,12,0),4,1)</f>
        <v>6</v>
      </c>
      <c r="Q235" s="22" t="str">
        <f>MID(VLOOKUP(C235,[1]Sheet1!$A$1:$AH$85,12,0),6,1)</f>
        <v/>
      </c>
      <c r="R235" s="22" t="str">
        <f>MID(VLOOKUP(C235,[1]Sheet1!$A$1:$AH$85,12,0),8,1)</f>
        <v/>
      </c>
      <c r="T235" s="23" t="s">
        <v>136</v>
      </c>
    </row>
    <row r="236" ht="16.5" spans="1:20">
      <c r="A236" s="42">
        <v>204019</v>
      </c>
      <c r="B236" s="43">
        <v>1579</v>
      </c>
      <c r="C236" s="19">
        <v>4019</v>
      </c>
      <c r="D236" s="19">
        <v>2</v>
      </c>
      <c r="E236" s="19">
        <v>41104</v>
      </c>
      <c r="F236" s="20" t="s">
        <v>206</v>
      </c>
      <c r="J236" s="35" t="s">
        <v>207</v>
      </c>
      <c r="K236" s="18" t="s">
        <v>208</v>
      </c>
      <c r="L236" s="22">
        <f>VLOOKUP(C236,[1]Sheet1!$A$1:$K$85,11,0)</f>
        <v>4</v>
      </c>
      <c r="M236" s="22">
        <f>VLOOKUP(C236,[1]Sheet1!$A$1:$K$85,3,0)</f>
        <v>3</v>
      </c>
      <c r="N236" s="22">
        <f>VLOOKUP(C236,[1]Sheet1!$A$1:$AH$85,34,0)</f>
        <v>0</v>
      </c>
      <c r="O236" s="22" t="str">
        <f>MID(VLOOKUP(C236,[1]Sheet1!$A$1:$AH$85,12,0),2,1)</f>
        <v>2</v>
      </c>
      <c r="P236" s="22" t="str">
        <f>MID(VLOOKUP(C236,[1]Sheet1!$A$1:$AH$85,12,0),4,1)</f>
        <v/>
      </c>
      <c r="Q236" s="22" t="str">
        <f>MID(VLOOKUP(C236,[1]Sheet1!$A$1:$AH$85,12,0),6,1)</f>
        <v/>
      </c>
      <c r="R236" s="22" t="str">
        <f>MID(VLOOKUP(C236,[1]Sheet1!$A$1:$AH$85,12,0),8,1)</f>
        <v/>
      </c>
      <c r="T236" s="23" t="s">
        <v>209</v>
      </c>
    </row>
    <row r="237" ht="16.5" spans="1:20">
      <c r="A237" s="42">
        <v>204021</v>
      </c>
      <c r="B237" s="43">
        <v>1581</v>
      </c>
      <c r="C237" s="19">
        <v>4021</v>
      </c>
      <c r="D237" s="19">
        <v>2</v>
      </c>
      <c r="E237" s="19">
        <v>575624</v>
      </c>
      <c r="F237" s="20" t="s">
        <v>88</v>
      </c>
      <c r="J237" s="35" t="s">
        <v>210</v>
      </c>
      <c r="K237" s="18" t="s">
        <v>211</v>
      </c>
      <c r="L237" s="22">
        <f>VLOOKUP(C237,[1]Sheet1!$A$1:$K$85,11,0)</f>
        <v>3</v>
      </c>
      <c r="M237" s="22">
        <f>VLOOKUP(C237,[1]Sheet1!$A$1:$K$85,3,0)</f>
        <v>3</v>
      </c>
      <c r="N237" s="22">
        <f>VLOOKUP(C237,[1]Sheet1!$A$1:$AH$85,34,0)</f>
        <v>0</v>
      </c>
      <c r="O237" s="22" t="str">
        <f>MID(VLOOKUP(C237,[1]Sheet1!$A$1:$AH$85,12,0),2,1)</f>
        <v>1</v>
      </c>
      <c r="P237" s="22" t="str">
        <f>MID(VLOOKUP(C237,[1]Sheet1!$A$1:$AH$85,12,0),4,1)</f>
        <v>6</v>
      </c>
      <c r="Q237" s="22" t="str">
        <f>MID(VLOOKUP(C237,[1]Sheet1!$A$1:$AH$85,12,0),6,1)</f>
        <v/>
      </c>
      <c r="R237" s="22" t="str">
        <f>MID(VLOOKUP(C237,[1]Sheet1!$A$1:$AH$85,12,0),8,1)</f>
        <v/>
      </c>
      <c r="T237" s="23" t="s">
        <v>212</v>
      </c>
    </row>
    <row r="238" ht="16.5" spans="1:20">
      <c r="A238" s="42">
        <v>204022</v>
      </c>
      <c r="B238" s="43">
        <v>1582</v>
      </c>
      <c r="C238" s="19">
        <v>4022</v>
      </c>
      <c r="D238" s="19">
        <v>2</v>
      </c>
      <c r="E238" s="19">
        <v>1328388</v>
      </c>
      <c r="F238" s="20" t="s">
        <v>153</v>
      </c>
      <c r="J238" s="35" t="s">
        <v>213</v>
      </c>
      <c r="K238" s="18" t="s">
        <v>214</v>
      </c>
      <c r="L238" s="22">
        <f>VLOOKUP(C238,[1]Sheet1!$A$1:$K$85,11,0)</f>
        <v>2</v>
      </c>
      <c r="M238" s="22">
        <f>VLOOKUP(C238,[1]Sheet1!$A$1:$K$85,3,0)</f>
        <v>4</v>
      </c>
      <c r="N238" s="22">
        <f>VLOOKUP(C238,[1]Sheet1!$A$1:$AH$85,34,0)</f>
        <v>0</v>
      </c>
      <c r="O238" s="22" t="str">
        <f>MID(VLOOKUP(C238,[1]Sheet1!$A$1:$AH$85,12,0),2,1)</f>
        <v>1</v>
      </c>
      <c r="P238" s="22" t="str">
        <f>MID(VLOOKUP(C238,[1]Sheet1!$A$1:$AH$85,12,0),4,1)</f>
        <v>5</v>
      </c>
      <c r="Q238" s="22" t="str">
        <f>MID(VLOOKUP(C238,[1]Sheet1!$A$1:$AH$85,12,0),6,1)</f>
        <v/>
      </c>
      <c r="R238" s="22" t="str">
        <f>MID(VLOOKUP(C238,[1]Sheet1!$A$1:$AH$85,12,0),8,1)</f>
        <v/>
      </c>
      <c r="T238" s="23" t="s">
        <v>156</v>
      </c>
    </row>
    <row r="239" ht="16.5" spans="1:20">
      <c r="A239" s="42">
        <v>204023</v>
      </c>
      <c r="B239" s="43">
        <v>1583</v>
      </c>
      <c r="C239" s="19">
        <v>4023</v>
      </c>
      <c r="D239" s="19">
        <v>2</v>
      </c>
      <c r="E239" s="19">
        <v>542864</v>
      </c>
      <c r="F239" s="20" t="s">
        <v>88</v>
      </c>
      <c r="J239" s="35" t="s">
        <v>215</v>
      </c>
      <c r="K239" s="18" t="s">
        <v>216</v>
      </c>
      <c r="L239" s="22">
        <f>VLOOKUP(C239,[1]Sheet1!$A$1:$K$85,11,0)</f>
        <v>4</v>
      </c>
      <c r="M239" s="22">
        <f>VLOOKUP(C239,[1]Sheet1!$A$1:$K$85,3,0)</f>
        <v>3</v>
      </c>
      <c r="N239" s="22">
        <f>VLOOKUP(C239,[1]Sheet1!$A$1:$AH$85,34,0)</f>
        <v>0</v>
      </c>
      <c r="O239" s="22" t="str">
        <f>MID(VLOOKUP(C239,[1]Sheet1!$A$1:$AH$85,12,0),2,1)</f>
        <v>1</v>
      </c>
      <c r="P239" s="22" t="str">
        <f>MID(VLOOKUP(C239,[1]Sheet1!$A$1:$AH$85,12,0),4,1)</f>
        <v>6</v>
      </c>
      <c r="Q239" s="22" t="str">
        <f>MID(VLOOKUP(C239,[1]Sheet1!$A$1:$AH$85,12,0),6,1)</f>
        <v/>
      </c>
      <c r="R239" s="22" t="str">
        <f>MID(VLOOKUP(C239,[1]Sheet1!$A$1:$AH$85,12,0),8,1)</f>
        <v/>
      </c>
      <c r="T239" s="23" t="s">
        <v>217</v>
      </c>
    </row>
    <row r="240" ht="16.5" spans="1:20">
      <c r="A240" s="42">
        <v>204024</v>
      </c>
      <c r="B240" s="43">
        <v>1584</v>
      </c>
      <c r="C240" s="19">
        <v>4024</v>
      </c>
      <c r="D240" s="19">
        <v>2</v>
      </c>
      <c r="E240" s="19">
        <v>1098512</v>
      </c>
      <c r="F240" s="20" t="s">
        <v>218</v>
      </c>
      <c r="J240" s="41" t="s">
        <v>219</v>
      </c>
      <c r="K240" s="18" t="s">
        <v>220</v>
      </c>
      <c r="L240" s="22">
        <f>VLOOKUP(C240,[1]Sheet1!$A$1:$K$85,11,0)</f>
        <v>4</v>
      </c>
      <c r="M240" s="22">
        <f>VLOOKUP(C240,[1]Sheet1!$A$1:$K$85,3,0)</f>
        <v>4</v>
      </c>
      <c r="N240" s="22">
        <f>VLOOKUP(C240,[1]Sheet1!$A$1:$AH$85,34,0)</f>
        <v>0</v>
      </c>
      <c r="O240" s="22" t="str">
        <f>MID(VLOOKUP(C240,[1]Sheet1!$A$1:$AH$85,12,0),2,1)</f>
        <v>1</v>
      </c>
      <c r="P240" s="22" t="str">
        <f>MID(VLOOKUP(C240,[1]Sheet1!$A$1:$AH$85,12,0),4,1)</f>
        <v>2</v>
      </c>
      <c r="Q240" s="22" t="str">
        <f>MID(VLOOKUP(C240,[1]Sheet1!$A$1:$AH$85,12,0),6,1)</f>
        <v/>
      </c>
      <c r="R240" s="22" t="str">
        <f>MID(VLOOKUP(C240,[1]Sheet1!$A$1:$AH$85,12,0),8,1)</f>
        <v/>
      </c>
      <c r="T240" s="23" t="s">
        <v>221</v>
      </c>
    </row>
    <row r="241" ht="16.5" spans="1:20">
      <c r="A241" s="42">
        <v>204025</v>
      </c>
      <c r="B241" s="43">
        <v>1585</v>
      </c>
      <c r="C241" s="19">
        <v>4025</v>
      </c>
      <c r="D241" s="19">
        <v>2</v>
      </c>
      <c r="E241" s="19">
        <v>1098504</v>
      </c>
      <c r="F241" s="20" t="s">
        <v>218</v>
      </c>
      <c r="J241" s="35" t="s">
        <v>222</v>
      </c>
      <c r="K241" s="18" t="s">
        <v>223</v>
      </c>
      <c r="L241" s="22">
        <f>VLOOKUP(C241,[1]Sheet1!$A$1:$K$85,11,0)</f>
        <v>3</v>
      </c>
      <c r="M241" s="22">
        <f>VLOOKUP(C241,[1]Sheet1!$A$1:$K$85,3,0)</f>
        <v>4</v>
      </c>
      <c r="N241" s="22">
        <f>VLOOKUP(C241,[1]Sheet1!$A$1:$AH$85,34,0)</f>
        <v>0</v>
      </c>
      <c r="O241" s="22" t="str">
        <f>MID(VLOOKUP(C241,[1]Sheet1!$A$1:$AH$85,12,0),2,1)</f>
        <v>1</v>
      </c>
      <c r="P241" s="22" t="str">
        <f>MID(VLOOKUP(C241,[1]Sheet1!$A$1:$AH$85,12,0),4,1)</f>
        <v>7</v>
      </c>
      <c r="Q241" s="22" t="str">
        <f>MID(VLOOKUP(C241,[1]Sheet1!$A$1:$AH$85,12,0),6,1)</f>
        <v/>
      </c>
      <c r="R241" s="22" t="str">
        <f>MID(VLOOKUP(C241,[1]Sheet1!$A$1:$AH$85,12,0),8,1)</f>
        <v/>
      </c>
      <c r="T241" s="23" t="s">
        <v>224</v>
      </c>
    </row>
    <row r="242" ht="16.5" spans="1:20">
      <c r="A242" s="42">
        <v>204026</v>
      </c>
      <c r="B242" s="43">
        <v>1586</v>
      </c>
      <c r="C242" s="19">
        <v>4026</v>
      </c>
      <c r="D242" s="19">
        <v>2</v>
      </c>
      <c r="E242" s="19">
        <v>41224</v>
      </c>
      <c r="F242" s="20" t="s">
        <v>225</v>
      </c>
      <c r="J242" s="35" t="s">
        <v>226</v>
      </c>
      <c r="K242" s="18" t="s">
        <v>208</v>
      </c>
      <c r="L242" s="22">
        <f>VLOOKUP(C242,[1]Sheet1!$A$1:$K$85,11,0)</f>
        <v>3</v>
      </c>
      <c r="M242" s="22">
        <f>VLOOKUP(C242,[1]Sheet1!$A$1:$K$85,3,0)</f>
        <v>4</v>
      </c>
      <c r="N242" s="22">
        <f>VLOOKUP(C242,[1]Sheet1!$A$1:$AH$85,34,0)</f>
        <v>0</v>
      </c>
      <c r="O242" s="22" t="str">
        <f>MID(VLOOKUP(C242,[1]Sheet1!$A$1:$AH$85,12,0),2,1)</f>
        <v>2</v>
      </c>
      <c r="P242" s="22" t="str">
        <f>MID(VLOOKUP(C242,[1]Sheet1!$A$1:$AH$85,12,0),4,1)</f>
        <v/>
      </c>
      <c r="Q242" s="22" t="str">
        <f>MID(VLOOKUP(C242,[1]Sheet1!$A$1:$AH$85,12,0),6,1)</f>
        <v/>
      </c>
      <c r="R242" s="22" t="str">
        <f>MID(VLOOKUP(C242,[1]Sheet1!$A$1:$AH$85,12,0),8,1)</f>
        <v/>
      </c>
      <c r="T242" s="23" t="s">
        <v>227</v>
      </c>
    </row>
    <row r="243" ht="16.5" spans="1:20">
      <c r="A243" s="42">
        <v>204027</v>
      </c>
      <c r="B243" s="43">
        <v>1587</v>
      </c>
      <c r="C243" s="19">
        <v>4027</v>
      </c>
      <c r="D243" s="19">
        <v>2</v>
      </c>
      <c r="E243" s="19">
        <v>1115408</v>
      </c>
      <c r="F243" s="20" t="s">
        <v>153</v>
      </c>
      <c r="J243" s="41" t="s">
        <v>228</v>
      </c>
      <c r="K243" s="18" t="s">
        <v>229</v>
      </c>
      <c r="L243" s="22">
        <f>VLOOKUP(C243,[1]Sheet1!$A$1:$K$85,11,0)</f>
        <v>4</v>
      </c>
      <c r="M243" s="22">
        <f>VLOOKUP(C243,[1]Sheet1!$A$1:$K$85,3,0)</f>
        <v>4</v>
      </c>
      <c r="N243" s="22">
        <f>VLOOKUP(C243,[1]Sheet1!$A$1:$AH$85,34,0)</f>
        <v>0</v>
      </c>
      <c r="O243" s="22" t="str">
        <f>MID(VLOOKUP(C243,[1]Sheet1!$A$1:$AH$85,12,0),2,1)</f>
        <v>3</v>
      </c>
      <c r="P243" s="22" t="str">
        <f>MID(VLOOKUP(C243,[1]Sheet1!$A$1:$AH$85,12,0),4,1)</f>
        <v>7</v>
      </c>
      <c r="Q243" s="22" t="str">
        <f>MID(VLOOKUP(C243,[1]Sheet1!$A$1:$AH$85,12,0),6,1)</f>
        <v/>
      </c>
      <c r="R243" s="22" t="str">
        <f>MID(VLOOKUP(C243,[1]Sheet1!$A$1:$AH$85,12,0),8,1)</f>
        <v/>
      </c>
      <c r="T243" s="23" t="s">
        <v>230</v>
      </c>
    </row>
    <row r="244" ht="16.5" spans="1:20">
      <c r="A244" s="42">
        <v>204028</v>
      </c>
      <c r="B244" s="43">
        <v>1588</v>
      </c>
      <c r="C244" s="19">
        <v>4028</v>
      </c>
      <c r="D244" s="19">
        <v>2</v>
      </c>
      <c r="E244" s="19">
        <v>1066242</v>
      </c>
      <c r="F244" s="20" t="s">
        <v>153</v>
      </c>
      <c r="J244" s="35" t="s">
        <v>231</v>
      </c>
      <c r="K244" s="18" t="s">
        <v>232</v>
      </c>
      <c r="L244" s="22">
        <f>VLOOKUP(C244,[1]Sheet1!$A$1:$K$85,11,0)</f>
        <v>1</v>
      </c>
      <c r="M244" s="22">
        <f>VLOOKUP(C244,[1]Sheet1!$A$1:$K$85,3,0)</f>
        <v>4</v>
      </c>
      <c r="N244" s="22">
        <f>VLOOKUP(C244,[1]Sheet1!$A$1:$AH$85,34,0)</f>
        <v>0</v>
      </c>
      <c r="O244" s="22" t="str">
        <f>MID(VLOOKUP(C244,[1]Sheet1!$A$1:$AH$85,12,0),2,1)</f>
        <v>1</v>
      </c>
      <c r="P244" s="22" t="str">
        <f>MID(VLOOKUP(C244,[1]Sheet1!$A$1:$AH$85,12,0),4,1)</f>
        <v>7</v>
      </c>
      <c r="Q244" s="22" t="str">
        <f>MID(VLOOKUP(C244,[1]Sheet1!$A$1:$AH$85,12,0),6,1)</f>
        <v/>
      </c>
      <c r="R244" s="22" t="str">
        <f>MID(VLOOKUP(C244,[1]Sheet1!$A$1:$AH$85,12,0),8,1)</f>
        <v/>
      </c>
      <c r="T244" s="23" t="s">
        <v>233</v>
      </c>
    </row>
    <row r="245" ht="16.5" spans="1:20">
      <c r="A245" s="42">
        <v>204030</v>
      </c>
      <c r="B245" s="43">
        <v>1590</v>
      </c>
      <c r="C245" s="19">
        <v>4030</v>
      </c>
      <c r="D245" s="19">
        <v>2</v>
      </c>
      <c r="E245" s="19">
        <v>53520</v>
      </c>
      <c r="F245" s="20" t="s">
        <v>175</v>
      </c>
      <c r="J245" s="35" t="s">
        <v>234</v>
      </c>
      <c r="K245" s="18" t="s">
        <v>235</v>
      </c>
      <c r="L245" s="22">
        <f>VLOOKUP(C245,[1]Sheet1!$A$1:$K$85,11,0)</f>
        <v>4</v>
      </c>
      <c r="M245" s="22">
        <f>VLOOKUP(C245,[1]Sheet1!$A$1:$K$85,3,0)</f>
        <v>4</v>
      </c>
      <c r="N245" s="22">
        <f>VLOOKUP(C245,[1]Sheet1!$A$1:$AH$85,34,0)</f>
        <v>0</v>
      </c>
      <c r="O245" s="22" t="str">
        <f>MID(VLOOKUP(C245,[1]Sheet1!$A$1:$AH$85,12,0),2,1)</f>
        <v>1</v>
      </c>
      <c r="P245" s="22" t="str">
        <f>MID(VLOOKUP(C245,[1]Sheet1!$A$1:$AH$85,12,0),4,1)</f>
        <v>2</v>
      </c>
      <c r="Q245" s="22" t="str">
        <f>MID(VLOOKUP(C245,[1]Sheet1!$A$1:$AH$85,12,0),6,1)</f>
        <v/>
      </c>
      <c r="R245" s="22" t="str">
        <f>MID(VLOOKUP(C245,[1]Sheet1!$A$1:$AH$85,12,0),8,1)</f>
        <v/>
      </c>
      <c r="T245" s="23" t="s">
        <v>193</v>
      </c>
    </row>
    <row r="246" ht="16.5" spans="1:20">
      <c r="A246" s="42">
        <v>204031</v>
      </c>
      <c r="B246" s="43">
        <v>1591</v>
      </c>
      <c r="C246" s="19">
        <v>4031</v>
      </c>
      <c r="D246" s="19">
        <v>2</v>
      </c>
      <c r="E246" s="19">
        <v>1067266</v>
      </c>
      <c r="F246" s="20" t="s">
        <v>165</v>
      </c>
      <c r="J246" s="35" t="s">
        <v>236</v>
      </c>
      <c r="K246" s="18" t="s">
        <v>237</v>
      </c>
      <c r="L246" s="22">
        <f>VLOOKUP(C246,[1]Sheet1!$A$1:$K$85,11,0)</f>
        <v>1</v>
      </c>
      <c r="M246" s="22">
        <f>VLOOKUP(C246,[1]Sheet1!$A$1:$K$85,3,0)</f>
        <v>4</v>
      </c>
      <c r="N246" s="22">
        <f>VLOOKUP(C246,[1]Sheet1!$A$1:$AH$85,34,0)</f>
        <v>0</v>
      </c>
      <c r="O246" s="22" t="str">
        <f>MID(VLOOKUP(C246,[1]Sheet1!$A$1:$AH$85,12,0),2,1)</f>
        <v>1</v>
      </c>
      <c r="P246" s="22" t="str">
        <f>MID(VLOOKUP(C246,[1]Sheet1!$A$1:$AH$85,12,0),4,1)</f>
        <v>7</v>
      </c>
      <c r="Q246" s="22" t="str">
        <f>MID(VLOOKUP(C246,[1]Sheet1!$A$1:$AH$85,12,0),6,1)</f>
        <v/>
      </c>
      <c r="R246" s="22" t="str">
        <f>MID(VLOOKUP(C246,[1]Sheet1!$A$1:$AH$85,12,0),8,1)</f>
        <v/>
      </c>
      <c r="T246" s="23" t="s">
        <v>238</v>
      </c>
    </row>
    <row r="247" ht="16.5" spans="1:20">
      <c r="A247" s="42">
        <v>204032</v>
      </c>
      <c r="B247" s="43">
        <v>1592</v>
      </c>
      <c r="C247" s="19">
        <v>4032</v>
      </c>
      <c r="D247" s="19">
        <v>2</v>
      </c>
      <c r="E247" s="19">
        <v>395524</v>
      </c>
      <c r="F247" s="20" t="s">
        <v>165</v>
      </c>
      <c r="J247" s="35" t="s">
        <v>239</v>
      </c>
      <c r="K247" s="18" t="s">
        <v>240</v>
      </c>
      <c r="L247" s="22">
        <f>VLOOKUP(C247,[1]Sheet1!$A$1:$K$85,11,0)</f>
        <v>2</v>
      </c>
      <c r="M247" s="22">
        <f>VLOOKUP(C247,[1]Sheet1!$A$1:$K$85,3,0)</f>
        <v>4</v>
      </c>
      <c r="N247" s="22">
        <f>VLOOKUP(C247,[1]Sheet1!$A$1:$AH$85,34,0)</f>
        <v>0</v>
      </c>
      <c r="O247" s="22" t="str">
        <f>MID(VLOOKUP(C247,[1]Sheet1!$A$1:$AH$85,12,0),2,1)</f>
        <v>4</v>
      </c>
      <c r="P247" s="22" t="str">
        <f>MID(VLOOKUP(C247,[1]Sheet1!$A$1:$AH$85,12,0),4,1)</f>
        <v>5</v>
      </c>
      <c r="Q247" s="22" t="str">
        <f>MID(VLOOKUP(C247,[1]Sheet1!$A$1:$AH$85,12,0),6,1)</f>
        <v/>
      </c>
      <c r="R247" s="22" t="str">
        <f>MID(VLOOKUP(C247,[1]Sheet1!$A$1:$AH$85,12,0),8,1)</f>
        <v/>
      </c>
      <c r="T247" s="23" t="s">
        <v>241</v>
      </c>
    </row>
    <row r="248" ht="16.5" spans="1:20">
      <c r="A248" s="42">
        <v>204033</v>
      </c>
      <c r="B248" s="43">
        <v>1593</v>
      </c>
      <c r="C248" s="19">
        <v>4033</v>
      </c>
      <c r="D248" s="19">
        <v>2</v>
      </c>
      <c r="E248" s="19">
        <v>1085704</v>
      </c>
      <c r="F248" s="20" t="s">
        <v>175</v>
      </c>
      <c r="J248" s="35" t="s">
        <v>242</v>
      </c>
      <c r="K248" s="18" t="s">
        <v>243</v>
      </c>
      <c r="L248" s="22">
        <f>VLOOKUP(C248,[1]Sheet1!$A$1:$K$85,11,0)</f>
        <v>3</v>
      </c>
      <c r="M248" s="22">
        <f>VLOOKUP(C248,[1]Sheet1!$A$1:$K$85,3,0)</f>
        <v>4</v>
      </c>
      <c r="N248" s="22">
        <f>VLOOKUP(C248,[1]Sheet1!$A$1:$AH$85,34,0)</f>
        <v>0</v>
      </c>
      <c r="O248" s="22" t="str">
        <f>MID(VLOOKUP(C248,[1]Sheet1!$A$1:$AH$85,12,0),2,1)</f>
        <v>2</v>
      </c>
      <c r="P248" s="22" t="str">
        <f>MID(VLOOKUP(C248,[1]Sheet1!$A$1:$AH$85,12,0),4,1)</f>
        <v>7</v>
      </c>
      <c r="Q248" s="22" t="str">
        <f>MID(VLOOKUP(C248,[1]Sheet1!$A$1:$AH$85,12,0),6,1)</f>
        <v/>
      </c>
      <c r="R248" s="22" t="str">
        <f>MID(VLOOKUP(C248,[1]Sheet1!$A$1:$AH$85,12,0),8,1)</f>
        <v/>
      </c>
      <c r="T248" s="23" t="s">
        <v>188</v>
      </c>
    </row>
    <row r="249" ht="16.5" spans="1:20">
      <c r="A249" s="42">
        <v>204034</v>
      </c>
      <c r="B249" s="43">
        <v>1594</v>
      </c>
      <c r="C249" s="19">
        <v>4034</v>
      </c>
      <c r="D249" s="19">
        <v>2</v>
      </c>
      <c r="E249" s="19">
        <v>1085700</v>
      </c>
      <c r="F249" s="20" t="s">
        <v>175</v>
      </c>
      <c r="J249" s="35" t="s">
        <v>244</v>
      </c>
      <c r="K249" s="18" t="s">
        <v>245</v>
      </c>
      <c r="L249" s="22">
        <f>VLOOKUP(C249,[1]Sheet1!$A$1:$K$85,11,0)</f>
        <v>2</v>
      </c>
      <c r="M249" s="22">
        <f>VLOOKUP(C249,[1]Sheet1!$A$1:$K$85,3,0)</f>
        <v>4</v>
      </c>
      <c r="N249" s="22">
        <f>VLOOKUP(C249,[1]Sheet1!$A$1:$AH$85,34,0)</f>
        <v>0</v>
      </c>
      <c r="O249" s="22" t="str">
        <f>MID(VLOOKUP(C249,[1]Sheet1!$A$1:$AH$85,12,0),2,1)</f>
        <v>2</v>
      </c>
      <c r="P249" s="22" t="str">
        <f>MID(VLOOKUP(C249,[1]Sheet1!$A$1:$AH$85,12,0),4,1)</f>
        <v>7</v>
      </c>
      <c r="Q249" s="22" t="str">
        <f>MID(VLOOKUP(C249,[1]Sheet1!$A$1:$AH$85,12,0),6,1)</f>
        <v/>
      </c>
      <c r="R249" s="22" t="str">
        <f>MID(VLOOKUP(C249,[1]Sheet1!$A$1:$AH$85,12,0),8,1)</f>
        <v/>
      </c>
      <c r="T249" s="23" t="s">
        <v>178</v>
      </c>
    </row>
    <row r="250" ht="16.5" spans="1:20">
      <c r="A250" s="42">
        <v>204035</v>
      </c>
      <c r="B250" s="43">
        <v>1595</v>
      </c>
      <c r="C250" s="19">
        <v>4035</v>
      </c>
      <c r="D250" s="19">
        <v>2</v>
      </c>
      <c r="E250" s="19">
        <v>106754</v>
      </c>
      <c r="F250" s="20" t="s">
        <v>225</v>
      </c>
      <c r="J250" s="35" t="s">
        <v>246</v>
      </c>
      <c r="K250" s="18" t="s">
        <v>247</v>
      </c>
      <c r="L250" s="22">
        <f>VLOOKUP(C250,[1]Sheet1!$A$1:$K$85,11,0)</f>
        <v>1</v>
      </c>
      <c r="M250" s="22">
        <f>VLOOKUP(C250,[1]Sheet1!$A$1:$K$85,3,0)</f>
        <v>4</v>
      </c>
      <c r="N250" s="22">
        <f>VLOOKUP(C250,[1]Sheet1!$A$1:$AH$85,34,0)</f>
        <v>0</v>
      </c>
      <c r="O250" s="22" t="str">
        <f>MID(VLOOKUP(C250,[1]Sheet1!$A$1:$AH$85,12,0),2,1)</f>
        <v>2</v>
      </c>
      <c r="P250" s="22" t="str">
        <f>MID(VLOOKUP(C250,[1]Sheet1!$A$1:$AH$85,12,0),4,1)</f>
        <v>3</v>
      </c>
      <c r="Q250" s="22" t="str">
        <f>MID(VLOOKUP(C250,[1]Sheet1!$A$1:$AH$85,12,0),6,1)</f>
        <v/>
      </c>
      <c r="R250" s="22" t="str">
        <f>MID(VLOOKUP(C250,[1]Sheet1!$A$1:$AH$85,12,0),8,1)</f>
        <v/>
      </c>
      <c r="T250" s="23" t="s">
        <v>248</v>
      </c>
    </row>
    <row r="251" ht="16.5" spans="1:20">
      <c r="A251" s="42">
        <v>204036</v>
      </c>
      <c r="B251" s="43">
        <v>1596</v>
      </c>
      <c r="C251" s="19">
        <v>4036</v>
      </c>
      <c r="D251" s="19">
        <v>2</v>
      </c>
      <c r="E251" s="19">
        <v>1115408</v>
      </c>
      <c r="F251" s="20" t="s">
        <v>153</v>
      </c>
      <c r="J251" s="35" t="s">
        <v>249</v>
      </c>
      <c r="K251" s="18" t="s">
        <v>250</v>
      </c>
      <c r="L251" s="22">
        <f>VLOOKUP(C251,[1]Sheet1!$A$1:$K$85,11,0)</f>
        <v>4</v>
      </c>
      <c r="M251" s="22">
        <f>VLOOKUP(C251,[1]Sheet1!$A$1:$K$85,3,0)</f>
        <v>4</v>
      </c>
      <c r="N251" s="22">
        <f>VLOOKUP(C251,[1]Sheet1!$A$1:$AH$85,34,0)</f>
        <v>0</v>
      </c>
      <c r="O251" s="22" t="str">
        <f>MID(VLOOKUP(C251,[1]Sheet1!$A$1:$AH$85,12,0),2,1)</f>
        <v>3</v>
      </c>
      <c r="P251" s="22" t="str">
        <f>MID(VLOOKUP(C251,[1]Sheet1!$A$1:$AH$85,12,0),4,1)</f>
        <v>7</v>
      </c>
      <c r="Q251" s="22" t="str">
        <f>MID(VLOOKUP(C251,[1]Sheet1!$A$1:$AH$85,12,0),6,1)</f>
        <v/>
      </c>
      <c r="R251" s="22" t="str">
        <f>MID(VLOOKUP(C251,[1]Sheet1!$A$1:$AH$85,12,0),8,1)</f>
        <v/>
      </c>
      <c r="T251" s="23" t="s">
        <v>230</v>
      </c>
    </row>
    <row r="252" ht="16.5" spans="1:20">
      <c r="A252" s="42">
        <v>204037</v>
      </c>
      <c r="B252" s="43">
        <v>1597</v>
      </c>
      <c r="C252" s="19">
        <v>4037</v>
      </c>
      <c r="D252" s="19">
        <v>2</v>
      </c>
      <c r="E252" s="19">
        <v>395522</v>
      </c>
      <c r="F252" s="20" t="s">
        <v>165</v>
      </c>
      <c r="J252" s="35" t="s">
        <v>251</v>
      </c>
      <c r="K252" s="18" t="s">
        <v>252</v>
      </c>
      <c r="L252" s="22">
        <f>VLOOKUP(C252,[1]Sheet1!$A$1:$K$85,11,0)</f>
        <v>1</v>
      </c>
      <c r="M252" s="22">
        <f>VLOOKUP(C252,[1]Sheet1!$A$1:$K$85,3,0)</f>
        <v>4</v>
      </c>
      <c r="N252" s="22">
        <f>VLOOKUP(C252,[1]Sheet1!$A$1:$AH$85,34,0)</f>
        <v>0</v>
      </c>
      <c r="O252" s="22" t="str">
        <f>MID(VLOOKUP(C252,[1]Sheet1!$A$1:$AH$85,12,0),2,1)</f>
        <v>4</v>
      </c>
      <c r="P252" s="22" t="str">
        <f>MID(VLOOKUP(C252,[1]Sheet1!$A$1:$AH$85,12,0),4,1)</f>
        <v>5</v>
      </c>
      <c r="Q252" s="22" t="str">
        <f>MID(VLOOKUP(C252,[1]Sheet1!$A$1:$AH$85,12,0),6,1)</f>
        <v/>
      </c>
      <c r="R252" s="22" t="str">
        <f>MID(VLOOKUP(C252,[1]Sheet1!$A$1:$AH$85,12,0),8,1)</f>
        <v/>
      </c>
      <c r="T252" s="23" t="s">
        <v>238</v>
      </c>
    </row>
    <row r="253" ht="16.5" spans="1:20">
      <c r="A253" s="42">
        <v>204038</v>
      </c>
      <c r="B253" s="43">
        <v>1598</v>
      </c>
      <c r="C253" s="19">
        <v>4038</v>
      </c>
      <c r="D253" s="19">
        <v>2</v>
      </c>
      <c r="E253" s="19">
        <v>49924</v>
      </c>
      <c r="F253" s="20" t="s">
        <v>218</v>
      </c>
      <c r="J253" s="35" t="s">
        <v>253</v>
      </c>
      <c r="K253" s="18" t="s">
        <v>254</v>
      </c>
      <c r="L253" s="22">
        <f>VLOOKUP(C253,[1]Sheet1!$A$1:$K$85,11,0)</f>
        <v>2</v>
      </c>
      <c r="M253" s="22">
        <f>VLOOKUP(C253,[1]Sheet1!$A$1:$K$85,3,0)</f>
        <v>4</v>
      </c>
      <c r="N253" s="22">
        <f>VLOOKUP(C253,[1]Sheet1!$A$1:$AH$85,34,0)</f>
        <v>0</v>
      </c>
      <c r="O253" s="22" t="str">
        <f>MID(VLOOKUP(C253,[1]Sheet1!$A$1:$AH$85,12,0),2,1)</f>
        <v>1</v>
      </c>
      <c r="P253" s="22" t="str">
        <f>MID(VLOOKUP(C253,[1]Sheet1!$A$1:$AH$85,12,0),4,1)</f>
        <v>2</v>
      </c>
      <c r="Q253" s="22" t="str">
        <f>MID(VLOOKUP(C253,[1]Sheet1!$A$1:$AH$85,12,0),6,1)</f>
        <v/>
      </c>
      <c r="R253" s="22" t="str">
        <f>MID(VLOOKUP(C253,[1]Sheet1!$A$1:$AH$85,12,0),8,1)</f>
        <v/>
      </c>
      <c r="T253" s="23" t="s">
        <v>255</v>
      </c>
    </row>
    <row r="254" ht="16.5" spans="1:20">
      <c r="A254" s="42">
        <v>204039</v>
      </c>
      <c r="B254" s="43">
        <v>1599</v>
      </c>
      <c r="C254" s="19">
        <v>4039</v>
      </c>
      <c r="D254" s="19">
        <v>2</v>
      </c>
      <c r="E254" s="19">
        <v>395522</v>
      </c>
      <c r="F254" s="20" t="s">
        <v>165</v>
      </c>
      <c r="J254" s="35" t="s">
        <v>256</v>
      </c>
      <c r="K254" s="18" t="s">
        <v>252</v>
      </c>
      <c r="L254" s="22">
        <f>VLOOKUP(C254,[1]Sheet1!$A$1:$K$85,11,0)</f>
        <v>1</v>
      </c>
      <c r="M254" s="22">
        <f>VLOOKUP(C254,[1]Sheet1!$A$1:$K$85,3,0)</f>
        <v>4</v>
      </c>
      <c r="N254" s="22">
        <f>VLOOKUP(C254,[1]Sheet1!$A$1:$AH$85,34,0)</f>
        <v>0</v>
      </c>
      <c r="O254" s="22" t="str">
        <f>MID(VLOOKUP(C254,[1]Sheet1!$A$1:$AH$85,12,0),2,1)</f>
        <v>4</v>
      </c>
      <c r="P254" s="22" t="str">
        <f>MID(VLOOKUP(C254,[1]Sheet1!$A$1:$AH$85,12,0),4,1)</f>
        <v>5</v>
      </c>
      <c r="Q254" s="22" t="str">
        <f>MID(VLOOKUP(C254,[1]Sheet1!$A$1:$AH$85,12,0),6,1)</f>
        <v/>
      </c>
      <c r="R254" s="22" t="str">
        <f>MID(VLOOKUP(C254,[1]Sheet1!$A$1:$AH$85,12,0),8,1)</f>
        <v/>
      </c>
      <c r="T254" s="23" t="s">
        <v>238</v>
      </c>
    </row>
    <row r="255" ht="16.5" spans="1:20">
      <c r="A255" s="42">
        <v>204040</v>
      </c>
      <c r="B255" s="43">
        <v>1600</v>
      </c>
      <c r="C255" s="19">
        <v>4040</v>
      </c>
      <c r="D255" s="19">
        <v>2</v>
      </c>
      <c r="E255" s="19">
        <v>99592</v>
      </c>
      <c r="F255" s="20" t="s">
        <v>153</v>
      </c>
      <c r="J255" s="35" t="s">
        <v>257</v>
      </c>
      <c r="K255" s="18" t="s">
        <v>258</v>
      </c>
      <c r="L255" s="22">
        <f>VLOOKUP(C255,[1]Sheet1!$A$1:$K$85,11,0)</f>
        <v>3</v>
      </c>
      <c r="M255" s="22">
        <f>VLOOKUP(C255,[1]Sheet1!$A$1:$K$85,3,0)</f>
        <v>4</v>
      </c>
      <c r="N255" s="22">
        <f>VLOOKUP(C255,[1]Sheet1!$A$1:$AH$85,34,0)</f>
        <v>0</v>
      </c>
      <c r="O255" s="22" t="str">
        <f>MID(VLOOKUP(C255,[1]Sheet1!$A$1:$AH$85,12,0),2,1)</f>
        <v>2</v>
      </c>
      <c r="P255" s="22" t="str">
        <f>MID(VLOOKUP(C255,[1]Sheet1!$A$1:$AH$85,12,0),4,1)</f>
        <v>3</v>
      </c>
      <c r="Q255" s="22" t="str">
        <f>MID(VLOOKUP(C255,[1]Sheet1!$A$1:$AH$85,12,0),6,1)</f>
        <v/>
      </c>
      <c r="R255" s="22" t="str">
        <f>MID(VLOOKUP(C255,[1]Sheet1!$A$1:$AH$85,12,0),8,1)</f>
        <v/>
      </c>
      <c r="T255" s="23" t="s">
        <v>259</v>
      </c>
    </row>
    <row r="256" spans="1:20">
      <c r="A256" s="50">
        <v>900000</v>
      </c>
      <c r="B256" s="27">
        <v>104000</v>
      </c>
      <c r="C256" s="19">
        <v>4000</v>
      </c>
      <c r="D256" s="19">
        <v>99</v>
      </c>
      <c r="E256" s="19">
        <v>0</v>
      </c>
      <c r="F256" s="20" t="s">
        <v>84</v>
      </c>
      <c r="J256" s="35" t="s">
        <v>173</v>
      </c>
      <c r="K256" s="18" t="s">
        <v>269</v>
      </c>
      <c r="L256" s="22">
        <f>VLOOKUP(C256,[1]Sheet1!$A$1:$K$85,11,0)</f>
        <v>3</v>
      </c>
      <c r="M256" s="22">
        <f>VLOOKUP(C256,[1]Sheet1!$A$1:$K$85,3,0)</f>
        <v>3</v>
      </c>
      <c r="N256" s="22">
        <f>VLOOKUP(C256,[1]Sheet1!$A$1:$AH$85,34,0)</f>
        <v>0</v>
      </c>
      <c r="O256" s="22" t="str">
        <f>MID(VLOOKUP(C256,[1]Sheet1!$A$1:$AH$85,12,0),2,1)</f>
        <v>1</v>
      </c>
      <c r="P256" s="22" t="str">
        <f>MID(VLOOKUP(C256,[1]Sheet1!$A$1:$AH$85,12,0),4,1)</f>
        <v>2</v>
      </c>
      <c r="Q256" s="22" t="str">
        <f>MID(VLOOKUP(C256,[1]Sheet1!$A$1:$AH$85,12,0),6,1)</f>
        <v/>
      </c>
      <c r="R256" s="22" t="str">
        <f>MID(VLOOKUP(C256,[1]Sheet1!$A$1:$AH$85,12,0),8,1)</f>
        <v/>
      </c>
      <c r="T256" s="23" t="s">
        <v>144</v>
      </c>
    </row>
    <row r="257" spans="1:20">
      <c r="A257" s="50">
        <v>900001</v>
      </c>
      <c r="B257" s="27">
        <v>5003040</v>
      </c>
      <c r="C257" s="19">
        <v>5001</v>
      </c>
      <c r="D257" s="19">
        <v>99</v>
      </c>
      <c r="E257" s="19">
        <v>0</v>
      </c>
      <c r="F257" s="39" t="s">
        <v>271</v>
      </c>
      <c r="J257" s="35" t="s">
        <v>272</v>
      </c>
      <c r="K257" s="18" t="s">
        <v>269</v>
      </c>
      <c r="L257" s="22" t="e">
        <f>VLOOKUP(C257,[1]Sheet1!$A$1:$K$85,11,0)</f>
        <v>#N/A</v>
      </c>
      <c r="M257" s="22" t="e">
        <f>VLOOKUP(C257,[1]Sheet1!$A$1:$K$85,3,0)</f>
        <v>#N/A</v>
      </c>
      <c r="N257" s="22" t="e">
        <f>VLOOKUP(C257,[1]Sheet1!$A$1:$AH$85,34,0)</f>
        <v>#N/A</v>
      </c>
      <c r="O257" s="22" t="e">
        <f>MID(VLOOKUP(C257,[1]Sheet1!$A$1:$AH$85,12,0),2,1)</f>
        <v>#N/A</v>
      </c>
      <c r="P257" s="22" t="e">
        <f>MID(VLOOKUP(C257,[1]Sheet1!$A$1:$AH$85,12,0),4,1)</f>
        <v>#N/A</v>
      </c>
      <c r="Q257" s="22" t="e">
        <f>MID(VLOOKUP(C257,[1]Sheet1!$A$1:$AH$85,12,0),6,1)</f>
        <v>#N/A</v>
      </c>
      <c r="R257" s="22" t="e">
        <f>MID(VLOOKUP(C257,[1]Sheet1!$A$1:$AH$85,12,0),8,1)</f>
        <v>#N/A</v>
      </c>
      <c r="T257" s="23" t="s">
        <v>144</v>
      </c>
    </row>
    <row r="258" spans="1:20">
      <c r="A258" s="26">
        <v>991011</v>
      </c>
      <c r="B258" s="27">
        <v>101011</v>
      </c>
      <c r="C258" s="19">
        <v>1011</v>
      </c>
      <c r="D258" s="19">
        <v>0</v>
      </c>
      <c r="E258" s="19">
        <v>0</v>
      </c>
      <c r="F258" s="20" t="s">
        <v>56</v>
      </c>
      <c r="H258" s="18" t="s">
        <v>273</v>
      </c>
      <c r="J258" s="19" t="s">
        <v>274</v>
      </c>
      <c r="K258" s="18" t="s">
        <v>61</v>
      </c>
      <c r="L258" s="22">
        <f>VLOOKUP(C258,[1]Sheet1!$A$1:$K$85,11,0)</f>
        <v>1</v>
      </c>
      <c r="M258" s="22">
        <f>VLOOKUP(C258,[1]Sheet1!$A$1:$K$85,3,0)</f>
        <v>2</v>
      </c>
      <c r="N258" s="22">
        <f>VLOOKUP(C258,[1]Sheet1!$A$1:$AH$85,34,0)</f>
        <v>0</v>
      </c>
      <c r="O258" s="22" t="str">
        <f>MID(VLOOKUP(C258,[1]Sheet1!$A$1:$AH$85,12,0),2,1)</f>
        <v>4</v>
      </c>
      <c r="P258" s="22" t="str">
        <f>MID(VLOOKUP(C258,[1]Sheet1!$A$1:$AH$85,12,0),4,1)</f>
        <v/>
      </c>
      <c r="Q258" s="22" t="str">
        <f>MID(VLOOKUP(C258,[1]Sheet1!$A$1:$AH$85,12,0),6,1)</f>
        <v/>
      </c>
      <c r="R258" s="22" t="str">
        <f>MID(VLOOKUP(C258,[1]Sheet1!$A$1:$AH$85,12,0),8,1)</f>
        <v/>
      </c>
      <c r="T258" s="23" t="s">
        <v>62</v>
      </c>
    </row>
  </sheetData>
  <autoFilter ref="L5:R258">
    <extLst/>
  </autoFilter>
  <conditionalFormatting sqref="E86">
    <cfRule type="duplicateValues" dxfId="0" priority="1"/>
  </conditionalFormatting>
  <conditionalFormatting sqref="E87">
    <cfRule type="duplicateValues" dxfId="0" priority="8"/>
  </conditionalFormatting>
  <conditionalFormatting sqref="E88">
    <cfRule type="duplicateValues" dxfId="0" priority="6"/>
  </conditionalFormatting>
  <conditionalFormatting sqref="E89">
    <cfRule type="duplicateValues" dxfId="0" priority="5"/>
  </conditionalFormatting>
  <conditionalFormatting sqref="E90">
    <cfRule type="duplicateValues" dxfId="0" priority="7"/>
  </conditionalFormatting>
  <conditionalFormatting sqref="E257">
    <cfRule type="duplicateValues" dxfId="0" priority="2"/>
  </conditionalFormatting>
  <conditionalFormatting sqref="E258">
    <cfRule type="duplicateValues" dxfId="0" priority="3"/>
  </conditionalFormatting>
  <conditionalFormatting sqref="E91:E256 E1:E85 E259:E1048576">
    <cfRule type="duplicateValues" dxfId="0" priority="9"/>
  </conditionalFormatting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D106"/>
  <sheetViews>
    <sheetView workbookViewId="0">
      <selection activeCell="AD6" sqref="AD6:AD106"/>
    </sheetView>
  </sheetViews>
  <sheetFormatPr defaultColWidth="9" defaultRowHeight="14.25"/>
  <sheetData>
    <row r="1" spans="4:28">
      <c r="D1" s="15" t="s">
        <v>275</v>
      </c>
      <c r="E1" s="15"/>
      <c r="F1" s="15"/>
      <c r="G1" s="15" t="s">
        <v>276</v>
      </c>
      <c r="H1" s="15"/>
      <c r="I1" s="15"/>
      <c r="J1" s="15" t="s">
        <v>277</v>
      </c>
      <c r="K1" s="15"/>
      <c r="L1" s="15"/>
      <c r="M1" s="15" t="s">
        <v>278</v>
      </c>
      <c r="N1" s="15"/>
      <c r="O1" s="15"/>
      <c r="P1" s="15" t="s">
        <v>279</v>
      </c>
      <c r="Q1" s="15"/>
      <c r="R1" s="15"/>
      <c r="S1" s="15" t="s">
        <v>280</v>
      </c>
      <c r="T1" s="15"/>
      <c r="U1" s="15"/>
      <c r="V1" s="15" t="s">
        <v>281</v>
      </c>
      <c r="W1" s="15"/>
      <c r="X1" s="15"/>
      <c r="Y1" s="15" t="s">
        <v>282</v>
      </c>
      <c r="Z1" s="15"/>
      <c r="AB1" s="15" t="s">
        <v>283</v>
      </c>
    </row>
    <row r="2" spans="4:28">
      <c r="D2" t="s">
        <v>284</v>
      </c>
      <c r="G2" t="s">
        <v>284</v>
      </c>
      <c r="J2" t="s">
        <v>284</v>
      </c>
      <c r="M2" t="s">
        <v>284</v>
      </c>
      <c r="P2" t="s">
        <v>284</v>
      </c>
      <c r="S2" t="s">
        <v>284</v>
      </c>
      <c r="V2" t="s">
        <v>284</v>
      </c>
      <c r="Y2" t="s">
        <v>284</v>
      </c>
      <c r="AB2" t="s">
        <v>284</v>
      </c>
    </row>
    <row r="3" spans="4:30">
      <c r="D3" t="s">
        <v>285</v>
      </c>
      <c r="E3" t="s">
        <v>286</v>
      </c>
      <c r="G3" t="s">
        <v>287</v>
      </c>
      <c r="H3" t="s">
        <v>286</v>
      </c>
      <c r="J3" t="s">
        <v>288</v>
      </c>
      <c r="K3" t="s">
        <v>286</v>
      </c>
      <c r="M3" t="s">
        <v>289</v>
      </c>
      <c r="N3" t="s">
        <v>286</v>
      </c>
      <c r="P3" t="s">
        <v>290</v>
      </c>
      <c r="Q3" t="s">
        <v>286</v>
      </c>
      <c r="S3" t="s">
        <v>291</v>
      </c>
      <c r="T3" t="s">
        <v>286</v>
      </c>
      <c r="V3" t="s">
        <v>292</v>
      </c>
      <c r="W3" t="s">
        <v>286</v>
      </c>
      <c r="Y3" t="s">
        <v>293</v>
      </c>
      <c r="Z3" t="s">
        <v>286</v>
      </c>
      <c r="AB3" t="s">
        <v>294</v>
      </c>
      <c r="AC3" t="s">
        <v>286</v>
      </c>
      <c r="AD3" t="s">
        <v>286</v>
      </c>
    </row>
    <row r="4" spans="4:30">
      <c r="D4" t="s">
        <v>295</v>
      </c>
      <c r="E4" t="s">
        <v>296</v>
      </c>
      <c r="G4" t="s">
        <v>295</v>
      </c>
      <c r="H4" t="s">
        <v>296</v>
      </c>
      <c r="J4" t="s">
        <v>295</v>
      </c>
      <c r="K4" t="s">
        <v>296</v>
      </c>
      <c r="M4" t="s">
        <v>295</v>
      </c>
      <c r="N4" t="s">
        <v>296</v>
      </c>
      <c r="P4" t="s">
        <v>295</v>
      </c>
      <c r="Q4" t="s">
        <v>296</v>
      </c>
      <c r="S4" t="s">
        <v>295</v>
      </c>
      <c r="T4" t="s">
        <v>296</v>
      </c>
      <c r="V4" t="s">
        <v>295</v>
      </c>
      <c r="W4" t="s">
        <v>296</v>
      </c>
      <c r="Y4" t="s">
        <v>295</v>
      </c>
      <c r="Z4" t="s">
        <v>296</v>
      </c>
      <c r="AB4" t="s">
        <v>295</v>
      </c>
      <c r="AC4" t="s">
        <v>296</v>
      </c>
      <c r="AD4" t="s">
        <v>296</v>
      </c>
    </row>
    <row r="5" spans="4:30">
      <c r="D5" t="s">
        <v>19</v>
      </c>
      <c r="E5" t="s">
        <v>297</v>
      </c>
      <c r="G5" t="s">
        <v>19</v>
      </c>
      <c r="H5" t="s">
        <v>297</v>
      </c>
      <c r="J5" t="s">
        <v>19</v>
      </c>
      <c r="K5" t="s">
        <v>297</v>
      </c>
      <c r="M5" t="s">
        <v>19</v>
      </c>
      <c r="N5" t="s">
        <v>297</v>
      </c>
      <c r="P5" t="s">
        <v>19</v>
      </c>
      <c r="Q5" t="s">
        <v>297</v>
      </c>
      <c r="S5" t="s">
        <v>19</v>
      </c>
      <c r="T5" t="s">
        <v>297</v>
      </c>
      <c r="V5" t="s">
        <v>19</v>
      </c>
      <c r="W5" t="s">
        <v>297</v>
      </c>
      <c r="Y5" t="s">
        <v>19</v>
      </c>
      <c r="Z5" t="s">
        <v>297</v>
      </c>
      <c r="AB5" t="s">
        <v>19</v>
      </c>
      <c r="AC5" t="s">
        <v>297</v>
      </c>
      <c r="AD5" t="s">
        <v>298</v>
      </c>
    </row>
    <row r="6" spans="1:30">
      <c r="A6">
        <v>1000</v>
      </c>
      <c r="B6" t="s">
        <v>32</v>
      </c>
      <c r="C6">
        <v>1</v>
      </c>
      <c r="D6" s="16">
        <v>1334000</v>
      </c>
      <c r="E6" s="16" t="str">
        <f t="shared" ref="E6:E69" si="0">$E$3&amp;C6&amp;$E$5&amp;D6&amp;$E$4</f>
        <v>{1,1334000}</v>
      </c>
      <c r="F6" s="16">
        <v>2</v>
      </c>
      <c r="G6" s="16">
        <v>514000</v>
      </c>
      <c r="H6" s="16" t="str">
        <f t="shared" ref="H6:H69" si="1">$E$3&amp;F6&amp;$E$5&amp;G6&amp;$E$4</f>
        <v>{2,514000}</v>
      </c>
      <c r="I6" s="16">
        <v>3</v>
      </c>
      <c r="J6" s="16">
        <v>8028000</v>
      </c>
      <c r="K6" s="16" t="str">
        <f t="shared" ref="K6:K69" si="2">$E$3&amp;I6&amp;$E$5&amp;J6&amp;$E$4</f>
        <v>{3,8028000}</v>
      </c>
      <c r="L6" s="16">
        <v>4</v>
      </c>
      <c r="M6" s="16">
        <v>50</v>
      </c>
      <c r="N6" s="16" t="str">
        <f t="shared" ref="N6:N69" si="3">$E$3&amp;L6&amp;$E$5&amp;M6&amp;$E$4</f>
        <v>{4,50}</v>
      </c>
      <c r="O6" s="16">
        <v>5</v>
      </c>
      <c r="P6" s="16">
        <v>1250</v>
      </c>
      <c r="Q6" s="16" t="str">
        <f t="shared" ref="Q6:Q69" si="4">$E$3&amp;O6&amp;$E$5&amp;P6&amp;$E$4</f>
        <v>{5,1250}</v>
      </c>
      <c r="R6" s="16">
        <v>6</v>
      </c>
      <c r="S6" s="16">
        <v>0</v>
      </c>
      <c r="T6" s="16" t="str">
        <f t="shared" ref="T6:T69" si="5">$E$3&amp;R6&amp;$E$5&amp;S6&amp;$E$4</f>
        <v>{6,0}</v>
      </c>
      <c r="U6" s="16">
        <v>7</v>
      </c>
      <c r="V6" s="16">
        <v>0</v>
      </c>
      <c r="W6" s="16" t="str">
        <f t="shared" ref="W6:W69" si="6">$E$3&amp;U6&amp;$E$5&amp;V6&amp;$E$4</f>
        <v>{7,0}</v>
      </c>
      <c r="X6" s="16">
        <v>8</v>
      </c>
      <c r="Y6" s="16">
        <v>1000</v>
      </c>
      <c r="Z6" s="16" t="str">
        <f t="shared" ref="Z6:Z69" si="7">$E$3&amp;X6&amp;$E$5&amp;Y6&amp;$E$4</f>
        <v>{8,1000}</v>
      </c>
      <c r="AA6">
        <v>9</v>
      </c>
      <c r="AB6" s="16">
        <v>1000</v>
      </c>
      <c r="AC6" s="16" t="str">
        <f t="shared" ref="AC6:AC69" si="8">$E$3&amp;AA6&amp;$E$5&amp;AB6&amp;$E$4</f>
        <v>{9,1000}</v>
      </c>
      <c r="AD6" t="str">
        <f t="shared" ref="AD6:AD69" si="9">$AD$3&amp;E6&amp;$AD$5&amp;H6&amp;$AD$5&amp;K6&amp;$AD$5&amp;N6&amp;$AD$5&amp;Q6&amp;$AD$5&amp;T6&amp;$AD$5&amp;W6&amp;$AD$5&amp;Z6&amp;$AD$5&amp;AC6&amp;$AD$4</f>
        <v>{{1,1334000}|{2,514000}|{3,8028000}|{4,50}|{5,1250}|{6,0}|{7,0}|{8,1000}|{9,1000}}</v>
      </c>
    </row>
    <row r="7" spans="1:30">
      <c r="A7">
        <v>1001</v>
      </c>
      <c r="B7" t="s">
        <v>36</v>
      </c>
      <c r="C7">
        <v>1</v>
      </c>
      <c r="D7" s="16">
        <v>1247000</v>
      </c>
      <c r="E7" s="16" t="str">
        <f t="shared" si="0"/>
        <v>{1,1247000}</v>
      </c>
      <c r="F7" s="16">
        <v>2</v>
      </c>
      <c r="G7" s="16">
        <v>625000</v>
      </c>
      <c r="H7" s="16" t="str">
        <f t="shared" si="1"/>
        <v>{2,625000}</v>
      </c>
      <c r="I7" s="16">
        <v>3</v>
      </c>
      <c r="J7" s="16">
        <v>9673000</v>
      </c>
      <c r="K7" s="16" t="str">
        <f t="shared" si="2"/>
        <v>{3,9673000}</v>
      </c>
      <c r="L7" s="16">
        <v>4</v>
      </c>
      <c r="M7" s="16">
        <v>50</v>
      </c>
      <c r="N7" s="16" t="str">
        <f t="shared" si="3"/>
        <v>{4,50}</v>
      </c>
      <c r="O7" s="16">
        <v>5</v>
      </c>
      <c r="P7" s="16">
        <v>1250</v>
      </c>
      <c r="Q7" s="16" t="str">
        <f t="shared" si="4"/>
        <v>{5,1250}</v>
      </c>
      <c r="R7" s="16">
        <v>6</v>
      </c>
      <c r="S7" s="16">
        <v>0</v>
      </c>
      <c r="T7" s="16" t="str">
        <f t="shared" si="5"/>
        <v>{6,0}</v>
      </c>
      <c r="U7" s="16">
        <v>7</v>
      </c>
      <c r="V7" s="16">
        <v>0</v>
      </c>
      <c r="W7" s="16" t="str">
        <f t="shared" si="6"/>
        <v>{7,0}</v>
      </c>
      <c r="X7" s="16">
        <v>8</v>
      </c>
      <c r="Y7" s="16">
        <v>1000</v>
      </c>
      <c r="Z7" s="16" t="str">
        <f t="shared" si="7"/>
        <v>{8,1000}</v>
      </c>
      <c r="AA7">
        <v>9</v>
      </c>
      <c r="AB7" s="16">
        <v>1000</v>
      </c>
      <c r="AC7" s="16" t="str">
        <f t="shared" si="8"/>
        <v>{9,1000}</v>
      </c>
      <c r="AD7" t="str">
        <f t="shared" si="9"/>
        <v>{{1,1247000}|{2,625000}|{3,9673000}|{4,50}|{5,1250}|{6,0}|{7,0}|{8,1000}|{9,1000}}</v>
      </c>
    </row>
    <row r="8" spans="1:30">
      <c r="A8">
        <v>1002</v>
      </c>
      <c r="B8" t="s">
        <v>40</v>
      </c>
      <c r="C8">
        <v>1</v>
      </c>
      <c r="D8" s="16">
        <v>1247000</v>
      </c>
      <c r="E8" s="16" t="str">
        <f t="shared" si="0"/>
        <v>{1,1247000}</v>
      </c>
      <c r="F8" s="16">
        <v>2</v>
      </c>
      <c r="G8" s="16">
        <v>665000</v>
      </c>
      <c r="H8" s="16" t="str">
        <f t="shared" si="1"/>
        <v>{2,665000}</v>
      </c>
      <c r="I8" s="16">
        <v>3</v>
      </c>
      <c r="J8" s="16">
        <v>9305000</v>
      </c>
      <c r="K8" s="16" t="str">
        <f t="shared" si="2"/>
        <v>{3,9305000}</v>
      </c>
      <c r="L8" s="16">
        <v>4</v>
      </c>
      <c r="M8" s="16">
        <v>50</v>
      </c>
      <c r="N8" s="16" t="str">
        <f t="shared" si="3"/>
        <v>{4,50}</v>
      </c>
      <c r="O8" s="16">
        <v>5</v>
      </c>
      <c r="P8" s="16">
        <v>1250</v>
      </c>
      <c r="Q8" s="16" t="str">
        <f t="shared" si="4"/>
        <v>{5,1250}</v>
      </c>
      <c r="R8" s="16">
        <v>6</v>
      </c>
      <c r="S8" s="16">
        <v>0</v>
      </c>
      <c r="T8" s="16" t="str">
        <f t="shared" si="5"/>
        <v>{6,0}</v>
      </c>
      <c r="U8" s="16">
        <v>7</v>
      </c>
      <c r="V8" s="16">
        <v>0</v>
      </c>
      <c r="W8" s="16" t="str">
        <f t="shared" si="6"/>
        <v>{7,0}</v>
      </c>
      <c r="X8" s="16">
        <v>8</v>
      </c>
      <c r="Y8" s="16">
        <v>1000</v>
      </c>
      <c r="Z8" s="16" t="str">
        <f t="shared" si="7"/>
        <v>{8,1000}</v>
      </c>
      <c r="AA8">
        <v>9</v>
      </c>
      <c r="AB8" s="16">
        <v>1000</v>
      </c>
      <c r="AC8" s="16" t="str">
        <f t="shared" si="8"/>
        <v>{9,1000}</v>
      </c>
      <c r="AD8" t="str">
        <f t="shared" si="9"/>
        <v>{{1,1247000}|{2,665000}|{3,9305000}|{4,50}|{5,1250}|{6,0}|{7,0}|{8,1000}|{9,1000}}</v>
      </c>
    </row>
    <row r="9" spans="1:30">
      <c r="A9">
        <v>1003</v>
      </c>
      <c r="B9" t="s">
        <v>43</v>
      </c>
      <c r="C9">
        <v>1</v>
      </c>
      <c r="D9" s="16">
        <v>1260000</v>
      </c>
      <c r="E9" s="16" t="str">
        <f t="shared" si="0"/>
        <v>{1,1260000}</v>
      </c>
      <c r="F9" s="16">
        <v>2</v>
      </c>
      <c r="G9" s="16">
        <v>665000</v>
      </c>
      <c r="H9" s="16" t="str">
        <f t="shared" si="1"/>
        <v>{2,665000}</v>
      </c>
      <c r="I9" s="16">
        <v>3</v>
      </c>
      <c r="J9" s="16">
        <v>9213000</v>
      </c>
      <c r="K9" s="16" t="str">
        <f t="shared" si="2"/>
        <v>{3,9213000}</v>
      </c>
      <c r="L9" s="16">
        <v>4</v>
      </c>
      <c r="M9" s="16">
        <v>50</v>
      </c>
      <c r="N9" s="16" t="str">
        <f t="shared" si="3"/>
        <v>{4,50}</v>
      </c>
      <c r="O9" s="16">
        <v>5</v>
      </c>
      <c r="P9" s="16">
        <v>1250</v>
      </c>
      <c r="Q9" s="16" t="str">
        <f t="shared" si="4"/>
        <v>{5,1250}</v>
      </c>
      <c r="R9" s="16">
        <v>6</v>
      </c>
      <c r="S9" s="16">
        <v>0</v>
      </c>
      <c r="T9" s="16" t="str">
        <f t="shared" si="5"/>
        <v>{6,0}</v>
      </c>
      <c r="U9" s="16">
        <v>7</v>
      </c>
      <c r="V9" s="16">
        <v>0</v>
      </c>
      <c r="W9" s="16" t="str">
        <f t="shared" si="6"/>
        <v>{7,0}</v>
      </c>
      <c r="X9" s="16">
        <v>8</v>
      </c>
      <c r="Y9" s="16">
        <v>1000</v>
      </c>
      <c r="Z9" s="16" t="str">
        <f t="shared" si="7"/>
        <v>{8,1000}</v>
      </c>
      <c r="AA9">
        <v>9</v>
      </c>
      <c r="AB9" s="16">
        <v>1000</v>
      </c>
      <c r="AC9" s="16" t="str">
        <f t="shared" si="8"/>
        <v>{9,1000}</v>
      </c>
      <c r="AD9" t="str">
        <f t="shared" si="9"/>
        <v>{{1,1260000}|{2,665000}|{3,9213000}|{4,50}|{5,1250}|{6,0}|{7,0}|{8,1000}|{9,1000}}</v>
      </c>
    </row>
    <row r="10" spans="1:30">
      <c r="A10">
        <v>1004</v>
      </c>
      <c r="B10" t="s">
        <v>299</v>
      </c>
      <c r="C10">
        <v>1</v>
      </c>
      <c r="D10" s="16">
        <v>866000</v>
      </c>
      <c r="E10" s="16" t="str">
        <f t="shared" si="0"/>
        <v>{1,866000}</v>
      </c>
      <c r="F10" s="16">
        <v>2</v>
      </c>
      <c r="G10" s="16">
        <v>881000</v>
      </c>
      <c r="H10" s="16" t="str">
        <f t="shared" si="1"/>
        <v>{2,881000}</v>
      </c>
      <c r="I10" s="16">
        <v>3</v>
      </c>
      <c r="J10" s="16">
        <v>12383000</v>
      </c>
      <c r="K10" s="16" t="str">
        <f t="shared" si="2"/>
        <v>{3,12383000}</v>
      </c>
      <c r="L10" s="16">
        <v>4</v>
      </c>
      <c r="M10" s="16">
        <v>50</v>
      </c>
      <c r="N10" s="16" t="str">
        <f t="shared" si="3"/>
        <v>{4,50}</v>
      </c>
      <c r="O10" s="16">
        <v>5</v>
      </c>
      <c r="P10" s="16">
        <v>1250</v>
      </c>
      <c r="Q10" s="16" t="str">
        <f t="shared" si="4"/>
        <v>{5,1250}</v>
      </c>
      <c r="R10" s="16">
        <v>6</v>
      </c>
      <c r="S10" s="16">
        <v>0</v>
      </c>
      <c r="T10" s="16" t="str">
        <f t="shared" si="5"/>
        <v>{6,0}</v>
      </c>
      <c r="U10" s="16">
        <v>7</v>
      </c>
      <c r="V10" s="16">
        <v>0</v>
      </c>
      <c r="W10" s="16" t="str">
        <f t="shared" si="6"/>
        <v>{7,0}</v>
      </c>
      <c r="X10" s="16">
        <v>8</v>
      </c>
      <c r="Y10" s="16">
        <v>1000</v>
      </c>
      <c r="Z10" s="16" t="str">
        <f t="shared" si="7"/>
        <v>{8,1000}</v>
      </c>
      <c r="AA10">
        <v>9</v>
      </c>
      <c r="AB10" s="16">
        <v>1000</v>
      </c>
      <c r="AC10" s="16" t="str">
        <f t="shared" si="8"/>
        <v>{9,1000}</v>
      </c>
      <c r="AD10" t="str">
        <f t="shared" si="9"/>
        <v>{{1,866000}|{2,881000}|{3,12383000}|{4,50}|{5,1250}|{6,0}|{7,0}|{8,1000}|{9,1000}}</v>
      </c>
    </row>
    <row r="11" spans="1:30">
      <c r="A11">
        <v>1005</v>
      </c>
      <c r="B11" t="s">
        <v>46</v>
      </c>
      <c r="C11">
        <v>1</v>
      </c>
      <c r="D11" s="16">
        <v>1060000</v>
      </c>
      <c r="E11" s="16" t="str">
        <f t="shared" si="0"/>
        <v>{1,1060000}</v>
      </c>
      <c r="F11" s="16">
        <v>2</v>
      </c>
      <c r="G11" s="16">
        <v>592000</v>
      </c>
      <c r="H11" s="16" t="str">
        <f t="shared" si="1"/>
        <v>{2,592000}</v>
      </c>
      <c r="I11" s="16">
        <v>3</v>
      </c>
      <c r="J11" s="16">
        <v>9397000</v>
      </c>
      <c r="K11" s="16" t="str">
        <f t="shared" si="2"/>
        <v>{3,9397000}</v>
      </c>
      <c r="L11" s="16">
        <v>4</v>
      </c>
      <c r="M11" s="16">
        <v>50</v>
      </c>
      <c r="N11" s="16" t="str">
        <f t="shared" si="3"/>
        <v>{4,50}</v>
      </c>
      <c r="O11" s="16">
        <v>5</v>
      </c>
      <c r="P11" s="16">
        <v>1250</v>
      </c>
      <c r="Q11" s="16" t="str">
        <f t="shared" si="4"/>
        <v>{5,1250}</v>
      </c>
      <c r="R11" s="16">
        <v>6</v>
      </c>
      <c r="S11" s="16">
        <v>0</v>
      </c>
      <c r="T11" s="16" t="str">
        <f t="shared" si="5"/>
        <v>{6,0}</v>
      </c>
      <c r="U11" s="16">
        <v>7</v>
      </c>
      <c r="V11" s="16">
        <v>0</v>
      </c>
      <c r="W11" s="16" t="str">
        <f t="shared" si="6"/>
        <v>{7,0}</v>
      </c>
      <c r="X11" s="16">
        <v>8</v>
      </c>
      <c r="Y11" s="16">
        <v>1000</v>
      </c>
      <c r="Z11" s="16" t="str">
        <f t="shared" si="7"/>
        <v>{8,1000}</v>
      </c>
      <c r="AA11">
        <v>9</v>
      </c>
      <c r="AB11" s="16">
        <v>1000</v>
      </c>
      <c r="AC11" s="16" t="str">
        <f t="shared" si="8"/>
        <v>{9,1000}</v>
      </c>
      <c r="AD11" t="str">
        <f t="shared" si="9"/>
        <v>{{1,1060000}|{2,592000}|{3,9397000}|{4,50}|{5,1250}|{6,0}|{7,0}|{8,1000}|{9,1000}}</v>
      </c>
    </row>
    <row r="12" spans="1:30">
      <c r="A12">
        <v>1006</v>
      </c>
      <c r="B12" t="s">
        <v>50</v>
      </c>
      <c r="C12">
        <v>1</v>
      </c>
      <c r="D12" s="16">
        <v>987000</v>
      </c>
      <c r="E12" s="16" t="str">
        <f t="shared" si="0"/>
        <v>{1,987000}</v>
      </c>
      <c r="F12" s="16">
        <v>2</v>
      </c>
      <c r="G12" s="16">
        <v>610000</v>
      </c>
      <c r="H12" s="16" t="str">
        <f t="shared" si="1"/>
        <v>{2,610000}</v>
      </c>
      <c r="I12" s="16">
        <v>3</v>
      </c>
      <c r="J12" s="16">
        <v>9692000</v>
      </c>
      <c r="K12" s="16" t="str">
        <f t="shared" si="2"/>
        <v>{3,9692000}</v>
      </c>
      <c r="L12" s="16">
        <v>4</v>
      </c>
      <c r="M12" s="16">
        <v>50</v>
      </c>
      <c r="N12" s="16" t="str">
        <f t="shared" si="3"/>
        <v>{4,50}</v>
      </c>
      <c r="O12" s="16">
        <v>5</v>
      </c>
      <c r="P12" s="16">
        <v>1250</v>
      </c>
      <c r="Q12" s="16" t="str">
        <f t="shared" si="4"/>
        <v>{5,1250}</v>
      </c>
      <c r="R12" s="16">
        <v>6</v>
      </c>
      <c r="S12" s="16">
        <v>0</v>
      </c>
      <c r="T12" s="16" t="str">
        <f t="shared" si="5"/>
        <v>{6,0}</v>
      </c>
      <c r="U12" s="16">
        <v>7</v>
      </c>
      <c r="V12" s="16">
        <v>0</v>
      </c>
      <c r="W12" s="16" t="str">
        <f t="shared" si="6"/>
        <v>{7,0}</v>
      </c>
      <c r="X12" s="16">
        <v>8</v>
      </c>
      <c r="Y12" s="16">
        <v>1000</v>
      </c>
      <c r="Z12" s="16" t="str">
        <f t="shared" si="7"/>
        <v>{8,1000}</v>
      </c>
      <c r="AA12">
        <v>9</v>
      </c>
      <c r="AB12" s="16">
        <v>1000</v>
      </c>
      <c r="AC12" s="16" t="str">
        <f t="shared" si="8"/>
        <v>{9,1000}</v>
      </c>
      <c r="AD12" t="str">
        <f t="shared" si="9"/>
        <v>{{1,987000}|{2,610000}|{3,9692000}|{4,50}|{5,1250}|{6,0}|{7,0}|{8,1000}|{9,1000}}</v>
      </c>
    </row>
    <row r="13" spans="1:30">
      <c r="A13">
        <v>1007</v>
      </c>
      <c r="B13" t="s">
        <v>53</v>
      </c>
      <c r="C13">
        <v>1</v>
      </c>
      <c r="D13" s="16">
        <v>1212000</v>
      </c>
      <c r="E13" s="16" t="str">
        <f t="shared" si="0"/>
        <v>{1,1212000}</v>
      </c>
      <c r="F13" s="16">
        <v>2</v>
      </c>
      <c r="G13" s="16">
        <v>558000</v>
      </c>
      <c r="H13" s="16" t="str">
        <f t="shared" si="1"/>
        <v>{2,558000}</v>
      </c>
      <c r="I13" s="16">
        <v>3</v>
      </c>
      <c r="J13" s="16">
        <v>8028000</v>
      </c>
      <c r="K13" s="16" t="str">
        <f t="shared" si="2"/>
        <v>{3,8028000}</v>
      </c>
      <c r="L13" s="16">
        <v>4</v>
      </c>
      <c r="M13" s="16">
        <v>50</v>
      </c>
      <c r="N13" s="16" t="str">
        <f t="shared" si="3"/>
        <v>{4,50}</v>
      </c>
      <c r="O13" s="16">
        <v>5</v>
      </c>
      <c r="P13" s="16">
        <v>1250</v>
      </c>
      <c r="Q13" s="16" t="str">
        <f t="shared" si="4"/>
        <v>{5,1250}</v>
      </c>
      <c r="R13" s="16">
        <v>6</v>
      </c>
      <c r="S13" s="16">
        <v>0</v>
      </c>
      <c r="T13" s="16" t="str">
        <f t="shared" si="5"/>
        <v>{6,0}</v>
      </c>
      <c r="U13" s="16">
        <v>7</v>
      </c>
      <c r="V13" s="16">
        <v>0</v>
      </c>
      <c r="W13" s="16" t="str">
        <f t="shared" si="6"/>
        <v>{7,0}</v>
      </c>
      <c r="X13" s="16">
        <v>8</v>
      </c>
      <c r="Y13" s="16">
        <v>1000</v>
      </c>
      <c r="Z13" s="16" t="str">
        <f t="shared" si="7"/>
        <v>{8,1000}</v>
      </c>
      <c r="AA13">
        <v>9</v>
      </c>
      <c r="AB13" s="16">
        <v>1000</v>
      </c>
      <c r="AC13" s="16" t="str">
        <f t="shared" si="8"/>
        <v>{9,1000}</v>
      </c>
      <c r="AD13" t="str">
        <f t="shared" si="9"/>
        <v>{{1,1212000}|{2,558000}|{3,8028000}|{4,50}|{5,1250}|{6,0}|{7,0}|{8,1000}|{9,1000}}</v>
      </c>
    </row>
    <row r="14" spans="1:30">
      <c r="A14">
        <v>1008</v>
      </c>
      <c r="B14" t="s">
        <v>300</v>
      </c>
      <c r="C14">
        <v>1</v>
      </c>
      <c r="D14" s="16">
        <v>1039000</v>
      </c>
      <c r="E14" s="16" t="str">
        <f t="shared" si="0"/>
        <v>{1,1039000}</v>
      </c>
      <c r="F14" s="16">
        <v>2</v>
      </c>
      <c r="G14" s="16">
        <v>592000</v>
      </c>
      <c r="H14" s="16" t="str">
        <f t="shared" si="1"/>
        <v>{2,592000}</v>
      </c>
      <c r="I14" s="16">
        <v>3</v>
      </c>
      <c r="J14" s="16">
        <v>9410000</v>
      </c>
      <c r="K14" s="16" t="str">
        <f t="shared" si="2"/>
        <v>{3,9410000}</v>
      </c>
      <c r="L14" s="16">
        <v>4</v>
      </c>
      <c r="M14" s="16">
        <v>50</v>
      </c>
      <c r="N14" s="16" t="str">
        <f t="shared" si="3"/>
        <v>{4,50}</v>
      </c>
      <c r="O14" s="16">
        <v>5</v>
      </c>
      <c r="P14" s="16">
        <v>1250</v>
      </c>
      <c r="Q14" s="16" t="str">
        <f t="shared" si="4"/>
        <v>{5,1250}</v>
      </c>
      <c r="R14" s="16">
        <v>6</v>
      </c>
      <c r="S14" s="16">
        <v>0</v>
      </c>
      <c r="T14" s="16" t="str">
        <f t="shared" si="5"/>
        <v>{6,0}</v>
      </c>
      <c r="U14" s="16">
        <v>7</v>
      </c>
      <c r="V14" s="16">
        <v>0</v>
      </c>
      <c r="W14" s="16" t="str">
        <f t="shared" si="6"/>
        <v>{7,0}</v>
      </c>
      <c r="X14" s="16">
        <v>8</v>
      </c>
      <c r="Y14" s="16">
        <v>1000</v>
      </c>
      <c r="Z14" s="16" t="str">
        <f t="shared" si="7"/>
        <v>{8,1000}</v>
      </c>
      <c r="AA14">
        <v>9</v>
      </c>
      <c r="AB14" s="16">
        <v>1000</v>
      </c>
      <c r="AC14" s="16" t="str">
        <f t="shared" si="8"/>
        <v>{9,1000}</v>
      </c>
      <c r="AD14" t="str">
        <f t="shared" si="9"/>
        <v>{{1,1039000}|{2,592000}|{3,9410000}|{4,50}|{5,1250}|{6,0}|{7,0}|{8,1000}|{9,1000}}</v>
      </c>
    </row>
    <row r="15" spans="1:30">
      <c r="A15">
        <v>1009</v>
      </c>
      <c r="B15" t="s">
        <v>301</v>
      </c>
      <c r="C15">
        <v>1</v>
      </c>
      <c r="D15" s="16">
        <v>1060000</v>
      </c>
      <c r="E15" s="16" t="str">
        <f t="shared" si="0"/>
        <v>{1,1060000}</v>
      </c>
      <c r="F15" s="16">
        <v>2</v>
      </c>
      <c r="G15" s="16">
        <v>592000</v>
      </c>
      <c r="H15" s="16" t="str">
        <f t="shared" si="1"/>
        <v>{2,592000}</v>
      </c>
      <c r="I15" s="16">
        <v>3</v>
      </c>
      <c r="J15" s="16">
        <v>9305000</v>
      </c>
      <c r="K15" s="16" t="str">
        <f t="shared" si="2"/>
        <v>{3,9305000}</v>
      </c>
      <c r="L15" s="16">
        <v>4</v>
      </c>
      <c r="M15" s="16">
        <v>50</v>
      </c>
      <c r="N15" s="16" t="str">
        <f t="shared" si="3"/>
        <v>{4,50}</v>
      </c>
      <c r="O15" s="16">
        <v>5</v>
      </c>
      <c r="P15" s="16">
        <v>1250</v>
      </c>
      <c r="Q15" s="16" t="str">
        <f t="shared" si="4"/>
        <v>{5,1250}</v>
      </c>
      <c r="R15" s="16">
        <v>6</v>
      </c>
      <c r="S15" s="16">
        <v>0</v>
      </c>
      <c r="T15" s="16" t="str">
        <f t="shared" si="5"/>
        <v>{6,0}</v>
      </c>
      <c r="U15" s="16">
        <v>7</v>
      </c>
      <c r="V15" s="16">
        <v>0</v>
      </c>
      <c r="W15" s="16" t="str">
        <f t="shared" si="6"/>
        <v>{7,0}</v>
      </c>
      <c r="X15" s="16">
        <v>8</v>
      </c>
      <c r="Y15" s="16">
        <v>1000</v>
      </c>
      <c r="Z15" s="16" t="str">
        <f t="shared" si="7"/>
        <v>{8,1000}</v>
      </c>
      <c r="AA15">
        <v>9</v>
      </c>
      <c r="AB15" s="16">
        <v>1000</v>
      </c>
      <c r="AC15" s="16" t="str">
        <f t="shared" si="8"/>
        <v>{9,1000}</v>
      </c>
      <c r="AD15" t="str">
        <f t="shared" si="9"/>
        <v>{{1,1060000}|{2,592000}|{3,9305000}|{4,50}|{5,1250}|{6,0}|{7,0}|{8,1000}|{9,1000}}</v>
      </c>
    </row>
    <row r="16" spans="1:30">
      <c r="A16">
        <v>1010</v>
      </c>
      <c r="B16" t="s">
        <v>57</v>
      </c>
      <c r="C16">
        <v>1</v>
      </c>
      <c r="D16" s="16">
        <v>1247000</v>
      </c>
      <c r="E16" s="16" t="str">
        <f t="shared" si="0"/>
        <v>{1,1247000}</v>
      </c>
      <c r="F16" s="16">
        <v>2</v>
      </c>
      <c r="G16" s="16">
        <v>671000</v>
      </c>
      <c r="H16" s="16" t="str">
        <f t="shared" si="1"/>
        <v>{2,671000}</v>
      </c>
      <c r="I16" s="16">
        <v>3</v>
      </c>
      <c r="J16" s="16">
        <v>9213000</v>
      </c>
      <c r="K16" s="16" t="str">
        <f t="shared" si="2"/>
        <v>{3,9213000}</v>
      </c>
      <c r="L16" s="16">
        <v>4</v>
      </c>
      <c r="M16" s="16">
        <v>50</v>
      </c>
      <c r="N16" s="16" t="str">
        <f t="shared" si="3"/>
        <v>{4,50}</v>
      </c>
      <c r="O16" s="16">
        <v>5</v>
      </c>
      <c r="P16" s="16">
        <v>1250</v>
      </c>
      <c r="Q16" s="16" t="str">
        <f t="shared" si="4"/>
        <v>{5,1250}</v>
      </c>
      <c r="R16" s="16">
        <v>6</v>
      </c>
      <c r="S16" s="16">
        <v>0</v>
      </c>
      <c r="T16" s="16" t="str">
        <f t="shared" si="5"/>
        <v>{6,0}</v>
      </c>
      <c r="U16" s="16">
        <v>7</v>
      </c>
      <c r="V16" s="16">
        <v>0</v>
      </c>
      <c r="W16" s="16" t="str">
        <f t="shared" si="6"/>
        <v>{7,0}</v>
      </c>
      <c r="X16" s="16">
        <v>8</v>
      </c>
      <c r="Y16" s="16">
        <v>1000</v>
      </c>
      <c r="Z16" s="16" t="str">
        <f t="shared" si="7"/>
        <v>{8,1000}</v>
      </c>
      <c r="AA16">
        <v>9</v>
      </c>
      <c r="AB16" s="16">
        <v>1000</v>
      </c>
      <c r="AC16" s="16" t="str">
        <f t="shared" si="8"/>
        <v>{9,1000}</v>
      </c>
      <c r="AD16" t="str">
        <f t="shared" si="9"/>
        <v>{{1,1247000}|{2,671000}|{3,9213000}|{4,50}|{5,1250}|{6,0}|{7,0}|{8,1000}|{9,1000}}</v>
      </c>
    </row>
    <row r="17" spans="1:30">
      <c r="A17">
        <v>1011</v>
      </c>
      <c r="B17" t="s">
        <v>60</v>
      </c>
      <c r="C17">
        <v>1</v>
      </c>
      <c r="D17" s="16">
        <v>1222000</v>
      </c>
      <c r="E17" s="16" t="str">
        <f t="shared" si="0"/>
        <v>{1,1222000}</v>
      </c>
      <c r="F17" s="16">
        <v>2</v>
      </c>
      <c r="G17" s="16">
        <v>665000</v>
      </c>
      <c r="H17" s="16" t="str">
        <f t="shared" si="1"/>
        <v>{2,665000}</v>
      </c>
      <c r="I17" s="16">
        <v>3</v>
      </c>
      <c r="J17" s="16">
        <v>9305000</v>
      </c>
      <c r="K17" s="16" t="str">
        <f t="shared" si="2"/>
        <v>{3,9305000}</v>
      </c>
      <c r="L17" s="16">
        <v>4</v>
      </c>
      <c r="M17" s="16">
        <v>50</v>
      </c>
      <c r="N17" s="16" t="str">
        <f t="shared" si="3"/>
        <v>{4,50}</v>
      </c>
      <c r="O17" s="16">
        <v>5</v>
      </c>
      <c r="P17" s="16">
        <v>1250</v>
      </c>
      <c r="Q17" s="16" t="str">
        <f t="shared" si="4"/>
        <v>{5,1250}</v>
      </c>
      <c r="R17" s="16">
        <v>6</v>
      </c>
      <c r="S17" s="16">
        <v>0</v>
      </c>
      <c r="T17" s="16" t="str">
        <f t="shared" si="5"/>
        <v>{6,0}</v>
      </c>
      <c r="U17" s="16">
        <v>7</v>
      </c>
      <c r="V17" s="16">
        <v>0</v>
      </c>
      <c r="W17" s="16" t="str">
        <f t="shared" si="6"/>
        <v>{7,0}</v>
      </c>
      <c r="X17" s="16">
        <v>8</v>
      </c>
      <c r="Y17" s="16">
        <v>1000</v>
      </c>
      <c r="Z17" s="16" t="str">
        <f t="shared" si="7"/>
        <v>{8,1000}</v>
      </c>
      <c r="AA17">
        <v>9</v>
      </c>
      <c r="AB17" s="16">
        <v>1000</v>
      </c>
      <c r="AC17" s="16" t="str">
        <f t="shared" si="8"/>
        <v>{9,1000}</v>
      </c>
      <c r="AD17" t="str">
        <f t="shared" si="9"/>
        <v>{{1,1222000}|{2,665000}|{3,9305000}|{4,50}|{5,1250}|{6,0}|{7,0}|{8,1000}|{9,1000}}</v>
      </c>
    </row>
    <row r="18" spans="1:30">
      <c r="A18">
        <v>1012</v>
      </c>
      <c r="B18" t="s">
        <v>64</v>
      </c>
      <c r="C18">
        <v>1</v>
      </c>
      <c r="D18" s="16">
        <v>1559000</v>
      </c>
      <c r="E18" s="16" t="str">
        <f t="shared" si="0"/>
        <v>{1,1559000}</v>
      </c>
      <c r="F18" s="16">
        <v>2</v>
      </c>
      <c r="G18" s="16">
        <v>592000</v>
      </c>
      <c r="H18" s="16" t="str">
        <f t="shared" si="1"/>
        <v>{2,592000}</v>
      </c>
      <c r="I18" s="16">
        <v>3</v>
      </c>
      <c r="J18" s="16">
        <v>8160000</v>
      </c>
      <c r="K18" s="16" t="str">
        <f t="shared" si="2"/>
        <v>{3,8160000}</v>
      </c>
      <c r="L18" s="16">
        <v>4</v>
      </c>
      <c r="M18" s="16">
        <v>50</v>
      </c>
      <c r="N18" s="16" t="str">
        <f t="shared" si="3"/>
        <v>{4,50}</v>
      </c>
      <c r="O18" s="16">
        <v>5</v>
      </c>
      <c r="P18" s="16">
        <v>1250</v>
      </c>
      <c r="Q18" s="16" t="str">
        <f t="shared" si="4"/>
        <v>{5,1250}</v>
      </c>
      <c r="R18" s="16">
        <v>6</v>
      </c>
      <c r="S18" s="16">
        <v>0</v>
      </c>
      <c r="T18" s="16" t="str">
        <f t="shared" si="5"/>
        <v>{6,0}</v>
      </c>
      <c r="U18" s="16">
        <v>7</v>
      </c>
      <c r="V18" s="16">
        <v>0</v>
      </c>
      <c r="W18" s="16" t="str">
        <f t="shared" si="6"/>
        <v>{7,0}</v>
      </c>
      <c r="X18" s="16">
        <v>8</v>
      </c>
      <c r="Y18" s="16">
        <v>1000</v>
      </c>
      <c r="Z18" s="16" t="str">
        <f t="shared" si="7"/>
        <v>{8,1000}</v>
      </c>
      <c r="AA18">
        <v>9</v>
      </c>
      <c r="AB18" s="16">
        <v>1000</v>
      </c>
      <c r="AC18" s="16" t="str">
        <f t="shared" si="8"/>
        <v>{9,1000}</v>
      </c>
      <c r="AD18" t="str">
        <f t="shared" si="9"/>
        <v>{{1,1559000}|{2,592000}|{3,8160000}|{4,50}|{5,1250}|{6,0}|{7,0}|{8,1000}|{9,1000}}</v>
      </c>
    </row>
    <row r="19" spans="1:30">
      <c r="A19">
        <v>1013</v>
      </c>
      <c r="B19" t="s">
        <v>68</v>
      </c>
      <c r="C19">
        <v>1</v>
      </c>
      <c r="D19" s="16">
        <v>1481000</v>
      </c>
      <c r="E19" s="16" t="str">
        <f t="shared" si="0"/>
        <v>{1,1481000}</v>
      </c>
      <c r="F19" s="16">
        <v>2</v>
      </c>
      <c r="G19" s="16">
        <v>604000</v>
      </c>
      <c r="H19" s="16" t="str">
        <f t="shared" si="1"/>
        <v>{2,604000}</v>
      </c>
      <c r="I19" s="16">
        <v>3</v>
      </c>
      <c r="J19" s="16">
        <v>8404000</v>
      </c>
      <c r="K19" s="16" t="str">
        <f t="shared" si="2"/>
        <v>{3,8404000}</v>
      </c>
      <c r="L19" s="16">
        <v>4</v>
      </c>
      <c r="M19" s="16">
        <v>50</v>
      </c>
      <c r="N19" s="16" t="str">
        <f t="shared" si="3"/>
        <v>{4,50}</v>
      </c>
      <c r="O19" s="16">
        <v>5</v>
      </c>
      <c r="P19" s="16">
        <v>1250</v>
      </c>
      <c r="Q19" s="16" t="str">
        <f t="shared" si="4"/>
        <v>{5,1250}</v>
      </c>
      <c r="R19" s="16">
        <v>6</v>
      </c>
      <c r="S19" s="16">
        <v>0</v>
      </c>
      <c r="T19" s="16" t="str">
        <f t="shared" si="5"/>
        <v>{6,0}</v>
      </c>
      <c r="U19" s="16">
        <v>7</v>
      </c>
      <c r="V19" s="16">
        <v>0</v>
      </c>
      <c r="W19" s="16" t="str">
        <f t="shared" si="6"/>
        <v>{7,0}</v>
      </c>
      <c r="X19" s="16">
        <v>8</v>
      </c>
      <c r="Y19" s="16">
        <v>1000</v>
      </c>
      <c r="Z19" s="16" t="str">
        <f t="shared" si="7"/>
        <v>{8,1000}</v>
      </c>
      <c r="AA19">
        <v>9</v>
      </c>
      <c r="AB19" s="16">
        <v>1000</v>
      </c>
      <c r="AC19" s="16" t="str">
        <f t="shared" si="8"/>
        <v>{9,1000}</v>
      </c>
      <c r="AD19" t="str">
        <f t="shared" si="9"/>
        <v>{{1,1481000}|{2,604000}|{3,8404000}|{4,50}|{5,1250}|{6,0}|{7,0}|{8,1000}|{9,1000}}</v>
      </c>
    </row>
    <row r="20" spans="1:30">
      <c r="A20">
        <v>1014</v>
      </c>
      <c r="B20" t="s">
        <v>72</v>
      </c>
      <c r="C20">
        <v>1</v>
      </c>
      <c r="D20" s="16">
        <v>1060000</v>
      </c>
      <c r="E20" s="16" t="str">
        <f t="shared" si="0"/>
        <v>{1,1060000}</v>
      </c>
      <c r="F20" s="16">
        <v>2</v>
      </c>
      <c r="G20" s="16">
        <v>625000</v>
      </c>
      <c r="H20" s="16" t="str">
        <f t="shared" si="1"/>
        <v>{2,625000}</v>
      </c>
      <c r="I20" s="16">
        <v>3</v>
      </c>
      <c r="J20" s="16">
        <v>8752000</v>
      </c>
      <c r="K20" s="16" t="str">
        <f t="shared" si="2"/>
        <v>{3,8752000}</v>
      </c>
      <c r="L20" s="16">
        <v>4</v>
      </c>
      <c r="M20" s="16">
        <v>50</v>
      </c>
      <c r="N20" s="16" t="str">
        <f t="shared" si="3"/>
        <v>{4,50}</v>
      </c>
      <c r="O20" s="16">
        <v>5</v>
      </c>
      <c r="P20" s="16">
        <v>1250</v>
      </c>
      <c r="Q20" s="16" t="str">
        <f t="shared" si="4"/>
        <v>{5,1250}</v>
      </c>
      <c r="R20" s="16">
        <v>6</v>
      </c>
      <c r="S20" s="16">
        <v>0</v>
      </c>
      <c r="T20" s="16" t="str">
        <f t="shared" si="5"/>
        <v>{6,0}</v>
      </c>
      <c r="U20" s="16">
        <v>7</v>
      </c>
      <c r="V20" s="16">
        <v>0</v>
      </c>
      <c r="W20" s="16" t="str">
        <f t="shared" si="6"/>
        <v>{7,0}</v>
      </c>
      <c r="X20" s="16">
        <v>8</v>
      </c>
      <c r="Y20" s="16">
        <v>1000</v>
      </c>
      <c r="Z20" s="16" t="str">
        <f t="shared" si="7"/>
        <v>{8,1000}</v>
      </c>
      <c r="AA20">
        <v>9</v>
      </c>
      <c r="AB20" s="16">
        <v>1000</v>
      </c>
      <c r="AC20" s="16" t="str">
        <f t="shared" si="8"/>
        <v>{9,1000}</v>
      </c>
      <c r="AD20" t="str">
        <f t="shared" si="9"/>
        <v>{{1,1060000}|{2,625000}|{3,8752000}|{4,50}|{5,1250}|{6,0}|{7,0}|{8,1000}|{9,1000}}</v>
      </c>
    </row>
    <row r="21" spans="1:30">
      <c r="A21">
        <v>1015</v>
      </c>
      <c r="B21" t="s">
        <v>75</v>
      </c>
      <c r="C21">
        <v>1</v>
      </c>
      <c r="D21" s="16">
        <v>1237000</v>
      </c>
      <c r="E21" s="16" t="str">
        <f t="shared" si="0"/>
        <v>{1,1237000}</v>
      </c>
      <c r="F21" s="16">
        <v>2</v>
      </c>
      <c r="G21" s="16">
        <v>558000</v>
      </c>
      <c r="H21" s="16" t="str">
        <f t="shared" si="1"/>
        <v>{2,558000}</v>
      </c>
      <c r="I21" s="16">
        <v>3</v>
      </c>
      <c r="J21" s="16">
        <v>7948000</v>
      </c>
      <c r="K21" s="16" t="str">
        <f t="shared" si="2"/>
        <v>{3,7948000}</v>
      </c>
      <c r="L21" s="16">
        <v>4</v>
      </c>
      <c r="M21" s="16">
        <v>50</v>
      </c>
      <c r="N21" s="16" t="str">
        <f t="shared" si="3"/>
        <v>{4,50}</v>
      </c>
      <c r="O21" s="16">
        <v>5</v>
      </c>
      <c r="P21" s="16">
        <v>1250</v>
      </c>
      <c r="Q21" s="16" t="str">
        <f t="shared" si="4"/>
        <v>{5,1250}</v>
      </c>
      <c r="R21" s="16">
        <v>6</v>
      </c>
      <c r="S21" s="16">
        <v>0</v>
      </c>
      <c r="T21" s="16" t="str">
        <f t="shared" si="5"/>
        <v>{6,0}</v>
      </c>
      <c r="U21" s="16">
        <v>7</v>
      </c>
      <c r="V21" s="16">
        <v>0</v>
      </c>
      <c r="W21" s="16" t="str">
        <f t="shared" si="6"/>
        <v>{7,0}</v>
      </c>
      <c r="X21" s="16">
        <v>8</v>
      </c>
      <c r="Y21" s="16">
        <v>1000</v>
      </c>
      <c r="Z21" s="16" t="str">
        <f t="shared" si="7"/>
        <v>{8,1000}</v>
      </c>
      <c r="AA21">
        <v>9</v>
      </c>
      <c r="AB21" s="16">
        <v>1000</v>
      </c>
      <c r="AC21" s="16" t="str">
        <f t="shared" si="8"/>
        <v>{9,1000}</v>
      </c>
      <c r="AD21" t="str">
        <f t="shared" si="9"/>
        <v>{{1,1237000}|{2,558000}|{3,7948000}|{4,50}|{5,1250}|{6,0}|{7,0}|{8,1000}|{9,1000}}</v>
      </c>
    </row>
    <row r="22" spans="1:30">
      <c r="A22">
        <v>1016</v>
      </c>
      <c r="B22" t="s">
        <v>302</v>
      </c>
      <c r="C22">
        <v>1</v>
      </c>
      <c r="D22" s="16">
        <v>1272000</v>
      </c>
      <c r="E22" s="16" t="str">
        <f t="shared" si="0"/>
        <v>{1,1272000}</v>
      </c>
      <c r="F22" s="16">
        <v>2</v>
      </c>
      <c r="G22" s="16">
        <v>645000</v>
      </c>
      <c r="H22" s="16" t="str">
        <f t="shared" si="1"/>
        <v>{2,645000}</v>
      </c>
      <c r="I22" s="16">
        <v>3</v>
      </c>
      <c r="J22" s="16">
        <v>9397000</v>
      </c>
      <c r="K22" s="16" t="str">
        <f t="shared" si="2"/>
        <v>{3,9397000}</v>
      </c>
      <c r="L22" s="16">
        <v>4</v>
      </c>
      <c r="M22" s="16">
        <v>50</v>
      </c>
      <c r="N22" s="16" t="str">
        <f t="shared" si="3"/>
        <v>{4,50}</v>
      </c>
      <c r="O22" s="16">
        <v>5</v>
      </c>
      <c r="P22" s="16">
        <v>1250</v>
      </c>
      <c r="Q22" s="16" t="str">
        <f t="shared" si="4"/>
        <v>{5,1250}</v>
      </c>
      <c r="R22" s="16">
        <v>6</v>
      </c>
      <c r="S22" s="16">
        <v>0</v>
      </c>
      <c r="T22" s="16" t="str">
        <f t="shared" si="5"/>
        <v>{6,0}</v>
      </c>
      <c r="U22" s="16">
        <v>7</v>
      </c>
      <c r="V22" s="16">
        <v>0</v>
      </c>
      <c r="W22" s="16" t="str">
        <f t="shared" si="6"/>
        <v>{7,0}</v>
      </c>
      <c r="X22" s="16">
        <v>8</v>
      </c>
      <c r="Y22" s="16">
        <v>1000</v>
      </c>
      <c r="Z22" s="16" t="str">
        <f t="shared" si="7"/>
        <v>{8,1000}</v>
      </c>
      <c r="AA22">
        <v>9</v>
      </c>
      <c r="AB22" s="16">
        <v>1000</v>
      </c>
      <c r="AC22" s="16" t="str">
        <f t="shared" si="8"/>
        <v>{9,1000}</v>
      </c>
      <c r="AD22" t="str">
        <f t="shared" si="9"/>
        <v>{{1,1272000}|{2,645000}|{3,9397000}|{4,50}|{5,1250}|{6,0}|{7,0}|{8,1000}|{9,1000}}</v>
      </c>
    </row>
    <row r="23" spans="1:30">
      <c r="A23">
        <v>1017</v>
      </c>
      <c r="B23" t="s">
        <v>77</v>
      </c>
      <c r="C23">
        <v>1</v>
      </c>
      <c r="D23" s="16">
        <v>1210000</v>
      </c>
      <c r="E23" s="16" t="str">
        <f t="shared" si="0"/>
        <v>{1,1210000}</v>
      </c>
      <c r="F23" s="16">
        <v>2</v>
      </c>
      <c r="G23" s="16">
        <v>671000</v>
      </c>
      <c r="H23" s="16" t="str">
        <f t="shared" si="1"/>
        <v>{2,671000}</v>
      </c>
      <c r="I23" s="16">
        <v>3</v>
      </c>
      <c r="J23" s="16">
        <v>9489000</v>
      </c>
      <c r="K23" s="16" t="str">
        <f t="shared" si="2"/>
        <v>{3,9489000}</v>
      </c>
      <c r="L23" s="16">
        <v>4</v>
      </c>
      <c r="M23" s="16">
        <v>50</v>
      </c>
      <c r="N23" s="16" t="str">
        <f t="shared" si="3"/>
        <v>{4,50}</v>
      </c>
      <c r="O23" s="16">
        <v>5</v>
      </c>
      <c r="P23" s="16">
        <v>1250</v>
      </c>
      <c r="Q23" s="16" t="str">
        <f t="shared" si="4"/>
        <v>{5,1250}</v>
      </c>
      <c r="R23" s="16">
        <v>6</v>
      </c>
      <c r="S23" s="16">
        <v>0</v>
      </c>
      <c r="T23" s="16" t="str">
        <f t="shared" si="5"/>
        <v>{6,0}</v>
      </c>
      <c r="U23" s="16">
        <v>7</v>
      </c>
      <c r="V23" s="16">
        <v>0</v>
      </c>
      <c r="W23" s="16" t="str">
        <f t="shared" si="6"/>
        <v>{7,0}</v>
      </c>
      <c r="X23" s="16">
        <v>8</v>
      </c>
      <c r="Y23" s="16">
        <v>1000</v>
      </c>
      <c r="Z23" s="16" t="str">
        <f t="shared" si="7"/>
        <v>{8,1000}</v>
      </c>
      <c r="AA23">
        <v>9</v>
      </c>
      <c r="AB23" s="16">
        <v>1000</v>
      </c>
      <c r="AC23" s="16" t="str">
        <f t="shared" si="8"/>
        <v>{9,1000}</v>
      </c>
      <c r="AD23" t="str">
        <f t="shared" si="9"/>
        <v>{{1,1210000}|{2,671000}|{3,9489000}|{4,50}|{5,1250}|{6,0}|{7,0}|{8,1000}|{9,1000}}</v>
      </c>
    </row>
    <row r="24" spans="1:30">
      <c r="A24">
        <v>2000</v>
      </c>
      <c r="B24" s="3" t="s">
        <v>81</v>
      </c>
      <c r="C24">
        <v>1</v>
      </c>
      <c r="D24" s="16">
        <v>1334000</v>
      </c>
      <c r="E24" s="16" t="str">
        <f t="shared" si="0"/>
        <v>{1,1334000}</v>
      </c>
      <c r="F24" s="16">
        <v>2</v>
      </c>
      <c r="G24" s="16">
        <v>525000</v>
      </c>
      <c r="H24" s="16" t="str">
        <f t="shared" si="1"/>
        <v>{2,525000}</v>
      </c>
      <c r="I24" s="16">
        <v>3</v>
      </c>
      <c r="J24" s="16">
        <v>8028000</v>
      </c>
      <c r="K24" s="16" t="str">
        <f t="shared" si="2"/>
        <v>{3,8028000}</v>
      </c>
      <c r="L24" s="16">
        <v>4</v>
      </c>
      <c r="M24" s="16">
        <v>50</v>
      </c>
      <c r="N24" s="16" t="str">
        <f t="shared" si="3"/>
        <v>{4,50}</v>
      </c>
      <c r="O24" s="16">
        <v>5</v>
      </c>
      <c r="P24" s="16">
        <v>1250</v>
      </c>
      <c r="Q24" s="16" t="str">
        <f t="shared" si="4"/>
        <v>{5,1250}</v>
      </c>
      <c r="R24" s="16">
        <v>6</v>
      </c>
      <c r="S24" s="16">
        <v>0</v>
      </c>
      <c r="T24" s="16" t="str">
        <f t="shared" si="5"/>
        <v>{6,0}</v>
      </c>
      <c r="U24" s="16">
        <v>7</v>
      </c>
      <c r="V24" s="16">
        <v>0</v>
      </c>
      <c r="W24" s="16" t="str">
        <f t="shared" si="6"/>
        <v>{7,0}</v>
      </c>
      <c r="X24" s="16">
        <v>8</v>
      </c>
      <c r="Y24" s="16">
        <v>1000</v>
      </c>
      <c r="Z24" s="16" t="str">
        <f t="shared" si="7"/>
        <v>{8,1000}</v>
      </c>
      <c r="AA24">
        <v>9</v>
      </c>
      <c r="AB24" s="16">
        <v>1000</v>
      </c>
      <c r="AC24" s="16" t="str">
        <f t="shared" si="8"/>
        <v>{9,1000}</v>
      </c>
      <c r="AD24" t="str">
        <f t="shared" si="9"/>
        <v>{{1,1334000}|{2,525000}|{3,8028000}|{4,50}|{5,1250}|{6,0}|{7,0}|{8,1000}|{9,1000}}</v>
      </c>
    </row>
    <row r="25" spans="1:30">
      <c r="A25">
        <v>2001</v>
      </c>
      <c r="B25" s="3" t="s">
        <v>303</v>
      </c>
      <c r="C25">
        <v>1</v>
      </c>
      <c r="D25" s="16">
        <v>1197000</v>
      </c>
      <c r="E25" s="16" t="str">
        <f t="shared" si="0"/>
        <v>{1,1197000}</v>
      </c>
      <c r="F25" s="16">
        <v>2</v>
      </c>
      <c r="G25" s="16">
        <v>678000</v>
      </c>
      <c r="H25" s="16" t="str">
        <f t="shared" si="1"/>
        <v>{2,678000}</v>
      </c>
      <c r="I25" s="16">
        <v>3</v>
      </c>
      <c r="J25" s="16">
        <v>9489000</v>
      </c>
      <c r="K25" s="16" t="str">
        <f t="shared" si="2"/>
        <v>{3,9489000}</v>
      </c>
      <c r="L25" s="16">
        <v>4</v>
      </c>
      <c r="M25" s="16">
        <v>50</v>
      </c>
      <c r="N25" s="16" t="str">
        <f t="shared" si="3"/>
        <v>{4,50}</v>
      </c>
      <c r="O25" s="16">
        <v>5</v>
      </c>
      <c r="P25" s="16">
        <v>1250</v>
      </c>
      <c r="Q25" s="16" t="str">
        <f t="shared" si="4"/>
        <v>{5,1250}</v>
      </c>
      <c r="R25" s="16">
        <v>6</v>
      </c>
      <c r="S25" s="16">
        <v>0</v>
      </c>
      <c r="T25" s="16" t="str">
        <f t="shared" si="5"/>
        <v>{6,0}</v>
      </c>
      <c r="U25" s="16">
        <v>7</v>
      </c>
      <c r="V25" s="16">
        <v>0</v>
      </c>
      <c r="W25" s="16" t="str">
        <f t="shared" si="6"/>
        <v>{7,0}</v>
      </c>
      <c r="X25" s="16">
        <v>8</v>
      </c>
      <c r="Y25" s="16">
        <v>1000</v>
      </c>
      <c r="Z25" s="16" t="str">
        <f t="shared" si="7"/>
        <v>{8,1000}</v>
      </c>
      <c r="AA25">
        <v>9</v>
      </c>
      <c r="AB25" s="16">
        <v>1000</v>
      </c>
      <c r="AC25" s="16" t="str">
        <f t="shared" si="8"/>
        <v>{9,1000}</v>
      </c>
      <c r="AD25" t="str">
        <f t="shared" si="9"/>
        <v>{{1,1197000}|{2,678000}|{3,9489000}|{4,50}|{5,1250}|{6,0}|{7,0}|{8,1000}|{9,1000}}</v>
      </c>
    </row>
    <row r="26" spans="1:30">
      <c r="A26">
        <v>2002</v>
      </c>
      <c r="B26" s="3" t="s">
        <v>304</v>
      </c>
      <c r="C26">
        <v>1</v>
      </c>
      <c r="D26" s="16">
        <v>857000</v>
      </c>
      <c r="E26" s="16" t="str">
        <f t="shared" si="0"/>
        <v>{1,857000}</v>
      </c>
      <c r="F26" s="16">
        <v>2</v>
      </c>
      <c r="G26" s="16">
        <v>873000</v>
      </c>
      <c r="H26" s="16" t="str">
        <f t="shared" si="1"/>
        <v>{2,873000}</v>
      </c>
      <c r="I26" s="16">
        <v>3</v>
      </c>
      <c r="J26" s="16">
        <v>12638000</v>
      </c>
      <c r="K26" s="16" t="str">
        <f t="shared" si="2"/>
        <v>{3,12638000}</v>
      </c>
      <c r="L26" s="16">
        <v>4</v>
      </c>
      <c r="M26" s="16">
        <v>50</v>
      </c>
      <c r="N26" s="16" t="str">
        <f t="shared" si="3"/>
        <v>{4,50}</v>
      </c>
      <c r="O26" s="16">
        <v>5</v>
      </c>
      <c r="P26" s="16">
        <v>1250</v>
      </c>
      <c r="Q26" s="16" t="str">
        <f t="shared" si="4"/>
        <v>{5,1250}</v>
      </c>
      <c r="R26" s="16">
        <v>6</v>
      </c>
      <c r="S26" s="16">
        <v>0</v>
      </c>
      <c r="T26" s="16" t="str">
        <f t="shared" si="5"/>
        <v>{6,0}</v>
      </c>
      <c r="U26" s="16">
        <v>7</v>
      </c>
      <c r="V26" s="16">
        <v>0</v>
      </c>
      <c r="W26" s="16" t="str">
        <f t="shared" si="6"/>
        <v>{7,0}</v>
      </c>
      <c r="X26" s="16">
        <v>8</v>
      </c>
      <c r="Y26" s="16">
        <v>1000</v>
      </c>
      <c r="Z26" s="16" t="str">
        <f t="shared" si="7"/>
        <v>{8,1000}</v>
      </c>
      <c r="AA26">
        <v>9</v>
      </c>
      <c r="AB26" s="16">
        <v>1000</v>
      </c>
      <c r="AC26" s="16" t="str">
        <f t="shared" si="8"/>
        <v>{9,1000}</v>
      </c>
      <c r="AD26" t="str">
        <f t="shared" si="9"/>
        <v>{{1,857000}|{2,873000}|{3,12638000}|{4,50}|{5,1250}|{6,0}|{7,0}|{8,1000}|{9,1000}}</v>
      </c>
    </row>
    <row r="27" spans="1:30">
      <c r="A27">
        <v>2003</v>
      </c>
      <c r="B27" s="3" t="s">
        <v>85</v>
      </c>
      <c r="C27">
        <v>1</v>
      </c>
      <c r="D27" s="16">
        <v>849000</v>
      </c>
      <c r="E27" s="16" t="str">
        <f t="shared" si="0"/>
        <v>{1,849000}</v>
      </c>
      <c r="F27" s="16">
        <v>2</v>
      </c>
      <c r="G27" s="16">
        <v>873000</v>
      </c>
      <c r="H27" s="16" t="str">
        <f t="shared" si="1"/>
        <v>{2,873000}</v>
      </c>
      <c r="I27" s="16">
        <v>3</v>
      </c>
      <c r="J27" s="16">
        <v>12766000</v>
      </c>
      <c r="K27" s="16" t="str">
        <f t="shared" si="2"/>
        <v>{3,12766000}</v>
      </c>
      <c r="L27" s="16">
        <v>4</v>
      </c>
      <c r="M27" s="16">
        <v>50</v>
      </c>
      <c r="N27" s="16" t="str">
        <f t="shared" si="3"/>
        <v>{4,50}</v>
      </c>
      <c r="O27" s="16">
        <v>5</v>
      </c>
      <c r="P27" s="16">
        <v>1250</v>
      </c>
      <c r="Q27" s="16" t="str">
        <f t="shared" si="4"/>
        <v>{5,1250}</v>
      </c>
      <c r="R27" s="16">
        <v>6</v>
      </c>
      <c r="S27" s="16">
        <v>0</v>
      </c>
      <c r="T27" s="16" t="str">
        <f t="shared" si="5"/>
        <v>{6,0}</v>
      </c>
      <c r="U27" s="16">
        <v>7</v>
      </c>
      <c r="V27" s="16">
        <v>0</v>
      </c>
      <c r="W27" s="16" t="str">
        <f t="shared" si="6"/>
        <v>{7,0}</v>
      </c>
      <c r="X27" s="16">
        <v>8</v>
      </c>
      <c r="Y27" s="16">
        <v>1000</v>
      </c>
      <c r="Z27" s="16" t="str">
        <f t="shared" si="7"/>
        <v>{8,1000}</v>
      </c>
      <c r="AA27">
        <v>9</v>
      </c>
      <c r="AB27" s="16">
        <v>1000</v>
      </c>
      <c r="AC27" s="16" t="str">
        <f t="shared" si="8"/>
        <v>{9,1000}</v>
      </c>
      <c r="AD27" t="str">
        <f t="shared" si="9"/>
        <v>{{1,849000}|{2,873000}|{3,12766000}|{4,50}|{5,1250}|{6,0}|{7,0}|{8,1000}|{9,1000}}</v>
      </c>
    </row>
    <row r="28" spans="1:30">
      <c r="A28">
        <v>2004</v>
      </c>
      <c r="B28" s="3" t="s">
        <v>89</v>
      </c>
      <c r="C28">
        <v>1</v>
      </c>
      <c r="D28" s="16">
        <v>1334000</v>
      </c>
      <c r="E28" s="16" t="str">
        <f t="shared" si="0"/>
        <v>{1,1334000}</v>
      </c>
      <c r="F28" s="16">
        <v>2</v>
      </c>
      <c r="G28" s="16">
        <v>525000</v>
      </c>
      <c r="H28" s="16" t="str">
        <f t="shared" si="1"/>
        <v>{2,525000}</v>
      </c>
      <c r="I28" s="16">
        <v>3</v>
      </c>
      <c r="J28" s="16">
        <v>7948000</v>
      </c>
      <c r="K28" s="16" t="str">
        <f t="shared" si="2"/>
        <v>{3,7948000}</v>
      </c>
      <c r="L28" s="16">
        <v>4</v>
      </c>
      <c r="M28" s="16">
        <v>50</v>
      </c>
      <c r="N28" s="16" t="str">
        <f t="shared" si="3"/>
        <v>{4,50}</v>
      </c>
      <c r="O28" s="16">
        <v>5</v>
      </c>
      <c r="P28" s="16">
        <v>1250</v>
      </c>
      <c r="Q28" s="16" t="str">
        <f t="shared" si="4"/>
        <v>{5,1250}</v>
      </c>
      <c r="R28" s="16">
        <v>6</v>
      </c>
      <c r="S28" s="16">
        <v>0</v>
      </c>
      <c r="T28" s="16" t="str">
        <f t="shared" si="5"/>
        <v>{6,0}</v>
      </c>
      <c r="U28" s="16">
        <v>7</v>
      </c>
      <c r="V28" s="16">
        <v>0</v>
      </c>
      <c r="W28" s="16" t="str">
        <f t="shared" si="6"/>
        <v>{7,0}</v>
      </c>
      <c r="X28" s="16">
        <v>8</v>
      </c>
      <c r="Y28" s="16">
        <v>1000</v>
      </c>
      <c r="Z28" s="16" t="str">
        <f t="shared" si="7"/>
        <v>{8,1000}</v>
      </c>
      <c r="AA28">
        <v>9</v>
      </c>
      <c r="AB28" s="16">
        <v>1000</v>
      </c>
      <c r="AC28" s="16" t="str">
        <f t="shared" si="8"/>
        <v>{9,1000}</v>
      </c>
      <c r="AD28" t="str">
        <f t="shared" si="9"/>
        <v>{{1,1334000}|{2,525000}|{3,7948000}|{4,50}|{5,1250}|{6,0}|{7,0}|{8,1000}|{9,1000}}</v>
      </c>
    </row>
    <row r="29" spans="1:30">
      <c r="A29">
        <v>2005</v>
      </c>
      <c r="B29" s="3" t="s">
        <v>92</v>
      </c>
      <c r="C29">
        <v>1</v>
      </c>
      <c r="D29" s="16">
        <v>823000</v>
      </c>
      <c r="E29" s="16" t="str">
        <f t="shared" si="0"/>
        <v>{1,823000}</v>
      </c>
      <c r="F29" s="16">
        <v>2</v>
      </c>
      <c r="G29" s="16">
        <v>881000</v>
      </c>
      <c r="H29" s="16" t="str">
        <f t="shared" si="1"/>
        <v>{2,881000}</v>
      </c>
      <c r="I29" s="16">
        <v>3</v>
      </c>
      <c r="J29" s="16">
        <v>13149000</v>
      </c>
      <c r="K29" s="16" t="str">
        <f t="shared" si="2"/>
        <v>{3,13149000}</v>
      </c>
      <c r="L29" s="16">
        <v>4</v>
      </c>
      <c r="M29" s="16">
        <v>50</v>
      </c>
      <c r="N29" s="16" t="str">
        <f t="shared" si="3"/>
        <v>{4,50}</v>
      </c>
      <c r="O29" s="16">
        <v>5</v>
      </c>
      <c r="P29" s="16">
        <v>1250</v>
      </c>
      <c r="Q29" s="16" t="str">
        <f t="shared" si="4"/>
        <v>{5,1250}</v>
      </c>
      <c r="R29" s="16">
        <v>6</v>
      </c>
      <c r="S29" s="16">
        <v>0</v>
      </c>
      <c r="T29" s="16" t="str">
        <f t="shared" si="5"/>
        <v>{6,0}</v>
      </c>
      <c r="U29" s="16">
        <v>7</v>
      </c>
      <c r="V29" s="16">
        <v>0</v>
      </c>
      <c r="W29" s="16" t="str">
        <f t="shared" si="6"/>
        <v>{7,0}</v>
      </c>
      <c r="X29" s="16">
        <v>8</v>
      </c>
      <c r="Y29" s="16">
        <v>1000</v>
      </c>
      <c r="Z29" s="16" t="str">
        <f t="shared" si="7"/>
        <v>{8,1000}</v>
      </c>
      <c r="AA29">
        <v>9</v>
      </c>
      <c r="AB29" s="16">
        <v>1000</v>
      </c>
      <c r="AC29" s="16" t="str">
        <f t="shared" si="8"/>
        <v>{9,1000}</v>
      </c>
      <c r="AD29" t="str">
        <f t="shared" si="9"/>
        <v>{{1,823000}|{2,881000}|{3,13149000}|{4,50}|{5,1250}|{6,0}|{7,0}|{8,1000}|{9,1000}}</v>
      </c>
    </row>
    <row r="30" spans="1:30">
      <c r="A30">
        <v>2006</v>
      </c>
      <c r="B30" s="3" t="s">
        <v>96</v>
      </c>
      <c r="C30">
        <v>1</v>
      </c>
      <c r="D30" s="16">
        <v>1122000</v>
      </c>
      <c r="E30" s="16" t="str">
        <f t="shared" si="0"/>
        <v>{1,1122000}</v>
      </c>
      <c r="F30" s="16">
        <v>2</v>
      </c>
      <c r="G30" s="16">
        <v>645000</v>
      </c>
      <c r="H30" s="16" t="str">
        <f t="shared" si="1"/>
        <v>{2,645000}</v>
      </c>
      <c r="I30" s="16">
        <v>3</v>
      </c>
      <c r="J30" s="16">
        <v>8936000</v>
      </c>
      <c r="K30" s="16" t="str">
        <f t="shared" si="2"/>
        <v>{3,8936000}</v>
      </c>
      <c r="L30" s="16">
        <v>4</v>
      </c>
      <c r="M30" s="16">
        <v>50</v>
      </c>
      <c r="N30" s="16" t="str">
        <f t="shared" si="3"/>
        <v>{4,50}</v>
      </c>
      <c r="O30" s="16">
        <v>5</v>
      </c>
      <c r="P30" s="16">
        <v>1250</v>
      </c>
      <c r="Q30" s="16" t="str">
        <f t="shared" si="4"/>
        <v>{5,1250}</v>
      </c>
      <c r="R30" s="16">
        <v>6</v>
      </c>
      <c r="S30" s="16">
        <v>0</v>
      </c>
      <c r="T30" s="16" t="str">
        <f t="shared" si="5"/>
        <v>{6,0}</v>
      </c>
      <c r="U30" s="16">
        <v>7</v>
      </c>
      <c r="V30" s="16">
        <v>0</v>
      </c>
      <c r="W30" s="16" t="str">
        <f t="shared" si="6"/>
        <v>{7,0}</v>
      </c>
      <c r="X30" s="16">
        <v>8</v>
      </c>
      <c r="Y30" s="16">
        <v>1000</v>
      </c>
      <c r="Z30" s="16" t="str">
        <f t="shared" si="7"/>
        <v>{8,1000}</v>
      </c>
      <c r="AA30">
        <v>9</v>
      </c>
      <c r="AB30" s="16">
        <v>1000</v>
      </c>
      <c r="AC30" s="16" t="str">
        <f t="shared" si="8"/>
        <v>{9,1000}</v>
      </c>
      <c r="AD30" t="str">
        <f t="shared" si="9"/>
        <v>{{1,1122000}|{2,645000}|{3,8936000}|{4,50}|{5,1250}|{6,0}|{7,0}|{8,1000}|{9,1000}}</v>
      </c>
    </row>
    <row r="31" spans="1:30">
      <c r="A31">
        <v>2007</v>
      </c>
      <c r="B31" s="3" t="s">
        <v>99</v>
      </c>
      <c r="C31">
        <v>1</v>
      </c>
      <c r="D31" s="16">
        <v>1247000</v>
      </c>
      <c r="E31" s="16" t="str">
        <f t="shared" si="0"/>
        <v>{1,1247000}</v>
      </c>
      <c r="F31" s="16">
        <v>2</v>
      </c>
      <c r="G31" s="16">
        <v>665000</v>
      </c>
      <c r="H31" s="16" t="str">
        <f t="shared" si="1"/>
        <v>{2,665000}</v>
      </c>
      <c r="I31" s="16">
        <v>3</v>
      </c>
      <c r="J31" s="16">
        <v>9305000</v>
      </c>
      <c r="K31" s="16" t="str">
        <f t="shared" si="2"/>
        <v>{3,9305000}</v>
      </c>
      <c r="L31" s="16">
        <v>4</v>
      </c>
      <c r="M31" s="16">
        <v>50</v>
      </c>
      <c r="N31" s="16" t="str">
        <f t="shared" si="3"/>
        <v>{4,50}</v>
      </c>
      <c r="O31" s="16">
        <v>5</v>
      </c>
      <c r="P31" s="16">
        <v>1250</v>
      </c>
      <c r="Q31" s="16" t="str">
        <f t="shared" si="4"/>
        <v>{5,1250}</v>
      </c>
      <c r="R31" s="16">
        <v>6</v>
      </c>
      <c r="S31" s="16">
        <v>0</v>
      </c>
      <c r="T31" s="16" t="str">
        <f t="shared" si="5"/>
        <v>{6,0}</v>
      </c>
      <c r="U31" s="16">
        <v>7</v>
      </c>
      <c r="V31" s="16">
        <v>0</v>
      </c>
      <c r="W31" s="16" t="str">
        <f t="shared" si="6"/>
        <v>{7,0}</v>
      </c>
      <c r="X31" s="16">
        <v>8</v>
      </c>
      <c r="Y31" s="16">
        <v>1000</v>
      </c>
      <c r="Z31" s="16" t="str">
        <f t="shared" si="7"/>
        <v>{8,1000}</v>
      </c>
      <c r="AA31">
        <v>9</v>
      </c>
      <c r="AB31" s="16">
        <v>1000</v>
      </c>
      <c r="AC31" s="16" t="str">
        <f t="shared" si="8"/>
        <v>{9,1000}</v>
      </c>
      <c r="AD31" t="str">
        <f t="shared" si="9"/>
        <v>{{1,1247000}|{2,665000}|{3,9305000}|{4,50}|{5,1250}|{6,0}|{7,0}|{8,1000}|{9,1000}}</v>
      </c>
    </row>
    <row r="32" spans="1:30">
      <c r="A32">
        <v>2008</v>
      </c>
      <c r="B32" s="3" t="s">
        <v>102</v>
      </c>
      <c r="C32">
        <v>1</v>
      </c>
      <c r="D32" s="16">
        <v>831000</v>
      </c>
      <c r="E32" s="16" t="str">
        <f t="shared" si="0"/>
        <v>{1,831000}</v>
      </c>
      <c r="F32" s="16">
        <v>2</v>
      </c>
      <c r="G32" s="16">
        <v>855000</v>
      </c>
      <c r="H32" s="16" t="str">
        <f t="shared" si="1"/>
        <v>{2,855000}</v>
      </c>
      <c r="I32" s="16">
        <v>3</v>
      </c>
      <c r="J32" s="16">
        <v>13277000</v>
      </c>
      <c r="K32" s="16" t="str">
        <f t="shared" si="2"/>
        <v>{3,13277000}</v>
      </c>
      <c r="L32" s="16">
        <v>4</v>
      </c>
      <c r="M32" s="16">
        <v>50</v>
      </c>
      <c r="N32" s="16" t="str">
        <f t="shared" si="3"/>
        <v>{4,50}</v>
      </c>
      <c r="O32" s="16">
        <v>5</v>
      </c>
      <c r="P32" s="16">
        <v>1250</v>
      </c>
      <c r="Q32" s="16" t="str">
        <f t="shared" si="4"/>
        <v>{5,1250}</v>
      </c>
      <c r="R32" s="16">
        <v>6</v>
      </c>
      <c r="S32" s="16">
        <v>0</v>
      </c>
      <c r="T32" s="16" t="str">
        <f t="shared" si="5"/>
        <v>{6,0}</v>
      </c>
      <c r="U32" s="16">
        <v>7</v>
      </c>
      <c r="V32" s="16">
        <v>0</v>
      </c>
      <c r="W32" s="16" t="str">
        <f t="shared" si="6"/>
        <v>{7,0}</v>
      </c>
      <c r="X32" s="16">
        <v>8</v>
      </c>
      <c r="Y32" s="16">
        <v>1000</v>
      </c>
      <c r="Z32" s="16" t="str">
        <f t="shared" si="7"/>
        <v>{8,1000}</v>
      </c>
      <c r="AA32">
        <v>9</v>
      </c>
      <c r="AB32" s="16">
        <v>1000</v>
      </c>
      <c r="AC32" s="16" t="str">
        <f t="shared" si="8"/>
        <v>{9,1000}</v>
      </c>
      <c r="AD32" t="str">
        <f t="shared" si="9"/>
        <v>{{1,831000}|{2,855000}|{3,13277000}|{4,50}|{5,1250}|{6,0}|{7,0}|{8,1000}|{9,1000}}</v>
      </c>
    </row>
    <row r="33" spans="1:30">
      <c r="A33">
        <v>2009</v>
      </c>
      <c r="B33" s="3" t="s">
        <v>105</v>
      </c>
      <c r="C33">
        <v>1</v>
      </c>
      <c r="D33" s="16">
        <v>1197000</v>
      </c>
      <c r="E33" s="16" t="str">
        <f t="shared" si="0"/>
        <v>{1,1197000}</v>
      </c>
      <c r="F33" s="16">
        <v>2</v>
      </c>
      <c r="G33" s="16">
        <v>678000</v>
      </c>
      <c r="H33" s="16" t="str">
        <f t="shared" si="1"/>
        <v>{2,678000}</v>
      </c>
      <c r="I33" s="16">
        <v>3</v>
      </c>
      <c r="J33" s="16">
        <v>9489000</v>
      </c>
      <c r="K33" s="16" t="str">
        <f t="shared" si="2"/>
        <v>{3,9489000}</v>
      </c>
      <c r="L33" s="16">
        <v>4</v>
      </c>
      <c r="M33" s="16">
        <v>50</v>
      </c>
      <c r="N33" s="16" t="str">
        <f t="shared" si="3"/>
        <v>{4,50}</v>
      </c>
      <c r="O33" s="16">
        <v>5</v>
      </c>
      <c r="P33" s="16">
        <v>1250</v>
      </c>
      <c r="Q33" s="16" t="str">
        <f t="shared" si="4"/>
        <v>{5,1250}</v>
      </c>
      <c r="R33" s="16">
        <v>6</v>
      </c>
      <c r="S33" s="16">
        <v>0</v>
      </c>
      <c r="T33" s="16" t="str">
        <f t="shared" si="5"/>
        <v>{6,0}</v>
      </c>
      <c r="U33" s="16">
        <v>7</v>
      </c>
      <c r="V33" s="16">
        <v>0</v>
      </c>
      <c r="W33" s="16" t="str">
        <f t="shared" si="6"/>
        <v>{7,0}</v>
      </c>
      <c r="X33" s="16">
        <v>8</v>
      </c>
      <c r="Y33" s="16">
        <v>1000</v>
      </c>
      <c r="Z33" s="16" t="str">
        <f t="shared" si="7"/>
        <v>{8,1000}</v>
      </c>
      <c r="AA33">
        <v>9</v>
      </c>
      <c r="AB33" s="16">
        <v>1000</v>
      </c>
      <c r="AC33" s="16" t="str">
        <f t="shared" si="8"/>
        <v>{9,1000}</v>
      </c>
      <c r="AD33" t="str">
        <f t="shared" si="9"/>
        <v>{{1,1197000}|{2,678000}|{3,9489000}|{4,50}|{5,1250}|{6,0}|{7,0}|{8,1000}|{9,1000}}</v>
      </c>
    </row>
    <row r="34" spans="1:30">
      <c r="A34" s="7">
        <v>2010</v>
      </c>
      <c r="B34" s="8" t="s">
        <v>108</v>
      </c>
      <c r="C34" s="7">
        <v>1</v>
      </c>
      <c r="D34" s="17">
        <v>1247000</v>
      </c>
      <c r="E34" s="17" t="str">
        <f t="shared" si="0"/>
        <v>{1,1247000}</v>
      </c>
      <c r="F34" s="17">
        <v>2</v>
      </c>
      <c r="G34" s="17">
        <v>658000</v>
      </c>
      <c r="H34" s="17" t="str">
        <f t="shared" si="1"/>
        <v>{2,658000}</v>
      </c>
      <c r="I34" s="17">
        <v>3</v>
      </c>
      <c r="J34" s="17">
        <v>9213000</v>
      </c>
      <c r="K34" s="17" t="str">
        <f t="shared" si="2"/>
        <v>{3,9213000}</v>
      </c>
      <c r="L34" s="17">
        <v>4</v>
      </c>
      <c r="M34" s="17">
        <v>50</v>
      </c>
      <c r="N34" s="17" t="str">
        <f t="shared" si="3"/>
        <v>{4,50}</v>
      </c>
      <c r="O34" s="17">
        <v>5</v>
      </c>
      <c r="P34" s="17">
        <v>1250</v>
      </c>
      <c r="Q34" s="17" t="str">
        <f t="shared" si="4"/>
        <v>{5,1250}</v>
      </c>
      <c r="R34" s="17">
        <v>6</v>
      </c>
      <c r="S34" s="17">
        <v>0</v>
      </c>
      <c r="T34" s="17" t="str">
        <f t="shared" si="5"/>
        <v>{6,0}</v>
      </c>
      <c r="U34" s="17">
        <v>7</v>
      </c>
      <c r="V34" s="17">
        <v>0</v>
      </c>
      <c r="W34" s="17" t="str">
        <f t="shared" si="6"/>
        <v>{7,0}</v>
      </c>
      <c r="X34" s="17">
        <v>8</v>
      </c>
      <c r="Y34" s="17">
        <v>1000</v>
      </c>
      <c r="Z34" s="17" t="str">
        <f t="shared" si="7"/>
        <v>{8,1000}</v>
      </c>
      <c r="AA34" s="7">
        <v>9</v>
      </c>
      <c r="AB34" s="17">
        <v>1000</v>
      </c>
      <c r="AC34" s="17" t="str">
        <f t="shared" si="8"/>
        <v>{9,1000}</v>
      </c>
      <c r="AD34" s="7" t="str">
        <f t="shared" si="9"/>
        <v>{{1,1247000}|{2,658000}|{3,9213000}|{4,50}|{5,1250}|{6,0}|{7,0}|{8,1000}|{9,1000}}</v>
      </c>
    </row>
    <row r="35" spans="1:30">
      <c r="A35">
        <v>2011</v>
      </c>
      <c r="B35" s="3" t="s">
        <v>112</v>
      </c>
      <c r="C35">
        <v>1</v>
      </c>
      <c r="D35" s="16">
        <v>1222000</v>
      </c>
      <c r="E35" s="16" t="str">
        <f t="shared" si="0"/>
        <v>{1,1222000}</v>
      </c>
      <c r="F35" s="16">
        <v>2</v>
      </c>
      <c r="G35" s="16">
        <v>665000</v>
      </c>
      <c r="H35" s="16" t="str">
        <f t="shared" si="1"/>
        <v>{2,665000}</v>
      </c>
      <c r="I35" s="16">
        <v>3</v>
      </c>
      <c r="J35" s="16">
        <v>9305000</v>
      </c>
      <c r="K35" s="16" t="str">
        <f t="shared" si="2"/>
        <v>{3,9305000}</v>
      </c>
      <c r="L35" s="16">
        <v>4</v>
      </c>
      <c r="M35" s="16">
        <v>50</v>
      </c>
      <c r="N35" s="16" t="str">
        <f t="shared" si="3"/>
        <v>{4,50}</v>
      </c>
      <c r="O35" s="16">
        <v>5</v>
      </c>
      <c r="P35" s="16">
        <v>1250</v>
      </c>
      <c r="Q35" s="16" t="str">
        <f t="shared" si="4"/>
        <v>{5,1250}</v>
      </c>
      <c r="R35" s="16">
        <v>6</v>
      </c>
      <c r="S35" s="16">
        <v>0</v>
      </c>
      <c r="T35" s="16" t="str">
        <f t="shared" si="5"/>
        <v>{6,0}</v>
      </c>
      <c r="U35" s="16">
        <v>7</v>
      </c>
      <c r="V35" s="16">
        <v>0</v>
      </c>
      <c r="W35" s="16" t="str">
        <f t="shared" si="6"/>
        <v>{7,0}</v>
      </c>
      <c r="X35" s="16">
        <v>8</v>
      </c>
      <c r="Y35" s="16">
        <v>1000</v>
      </c>
      <c r="Z35" s="16" t="str">
        <f t="shared" si="7"/>
        <v>{8,1000}</v>
      </c>
      <c r="AA35">
        <v>9</v>
      </c>
      <c r="AB35" s="16">
        <v>1000</v>
      </c>
      <c r="AC35" s="16" t="str">
        <f t="shared" si="8"/>
        <v>{9,1000}</v>
      </c>
      <c r="AD35" t="str">
        <f t="shared" si="9"/>
        <v>{{1,1222000}|{2,665000}|{3,9305000}|{4,50}|{5,1250}|{6,0}|{7,0}|{8,1000}|{9,1000}}</v>
      </c>
    </row>
    <row r="36" spans="1:30">
      <c r="A36">
        <v>2012</v>
      </c>
      <c r="B36" s="3" t="s">
        <v>115</v>
      </c>
      <c r="C36">
        <v>1</v>
      </c>
      <c r="D36" s="16">
        <v>1185000</v>
      </c>
      <c r="E36" s="16" t="str">
        <f t="shared" si="0"/>
        <v>{1,1185000}</v>
      </c>
      <c r="F36" s="16">
        <v>2</v>
      </c>
      <c r="G36" s="16">
        <v>658000</v>
      </c>
      <c r="H36" s="16" t="str">
        <f t="shared" si="1"/>
        <v>{2,658000}</v>
      </c>
      <c r="I36" s="16">
        <v>3</v>
      </c>
      <c r="J36" s="16">
        <v>9673000</v>
      </c>
      <c r="K36" s="16" t="str">
        <f t="shared" si="2"/>
        <v>{3,9673000}</v>
      </c>
      <c r="L36" s="16">
        <v>4</v>
      </c>
      <c r="M36" s="16">
        <v>50</v>
      </c>
      <c r="N36" s="16" t="str">
        <f t="shared" si="3"/>
        <v>{4,50}</v>
      </c>
      <c r="O36" s="16">
        <v>5</v>
      </c>
      <c r="P36" s="16">
        <v>1250</v>
      </c>
      <c r="Q36" s="16" t="str">
        <f t="shared" si="4"/>
        <v>{5,1250}</v>
      </c>
      <c r="R36" s="16">
        <v>6</v>
      </c>
      <c r="S36" s="16">
        <v>0</v>
      </c>
      <c r="T36" s="16" t="str">
        <f t="shared" si="5"/>
        <v>{6,0}</v>
      </c>
      <c r="U36" s="16">
        <v>7</v>
      </c>
      <c r="V36" s="16">
        <v>0</v>
      </c>
      <c r="W36" s="16" t="str">
        <f t="shared" si="6"/>
        <v>{7,0}</v>
      </c>
      <c r="X36" s="16">
        <v>8</v>
      </c>
      <c r="Y36" s="16">
        <v>1000</v>
      </c>
      <c r="Z36" s="16" t="str">
        <f t="shared" si="7"/>
        <v>{8,1000}</v>
      </c>
      <c r="AA36">
        <v>9</v>
      </c>
      <c r="AB36" s="16">
        <v>1000</v>
      </c>
      <c r="AC36" s="16" t="str">
        <f t="shared" si="8"/>
        <v>{9,1000}</v>
      </c>
      <c r="AD36" t="str">
        <f t="shared" si="9"/>
        <v>{{1,1185000}|{2,658000}|{3,9673000}|{4,50}|{5,1250}|{6,0}|{7,0}|{8,1000}|{9,1000}}</v>
      </c>
    </row>
    <row r="37" spans="1:30">
      <c r="A37">
        <v>2013</v>
      </c>
      <c r="B37" s="3" t="s">
        <v>117</v>
      </c>
      <c r="C37">
        <v>1</v>
      </c>
      <c r="D37" s="16">
        <v>823000</v>
      </c>
      <c r="E37" s="16" t="str">
        <f t="shared" si="0"/>
        <v>{1,823000}</v>
      </c>
      <c r="F37" s="16">
        <v>2</v>
      </c>
      <c r="G37" s="16">
        <v>898000</v>
      </c>
      <c r="H37" s="16" t="str">
        <f t="shared" si="1"/>
        <v>{2,898000}</v>
      </c>
      <c r="I37" s="16">
        <v>3</v>
      </c>
      <c r="J37" s="16">
        <v>13021000</v>
      </c>
      <c r="K37" s="16" t="str">
        <f t="shared" si="2"/>
        <v>{3,13021000}</v>
      </c>
      <c r="L37" s="16">
        <v>4</v>
      </c>
      <c r="M37" s="16">
        <v>50</v>
      </c>
      <c r="N37" s="16" t="str">
        <f t="shared" si="3"/>
        <v>{4,50}</v>
      </c>
      <c r="O37" s="16">
        <v>5</v>
      </c>
      <c r="P37" s="16">
        <v>1250</v>
      </c>
      <c r="Q37" s="16" t="str">
        <f t="shared" si="4"/>
        <v>{5,1250}</v>
      </c>
      <c r="R37" s="16">
        <v>6</v>
      </c>
      <c r="S37" s="16">
        <v>0</v>
      </c>
      <c r="T37" s="16" t="str">
        <f t="shared" si="5"/>
        <v>{6,0}</v>
      </c>
      <c r="U37" s="16">
        <v>7</v>
      </c>
      <c r="V37" s="16">
        <v>0</v>
      </c>
      <c r="W37" s="16" t="str">
        <f t="shared" si="6"/>
        <v>{7,0}</v>
      </c>
      <c r="X37" s="16">
        <v>8</v>
      </c>
      <c r="Y37" s="16">
        <v>1000</v>
      </c>
      <c r="Z37" s="16" t="str">
        <f t="shared" si="7"/>
        <v>{8,1000}</v>
      </c>
      <c r="AA37">
        <v>9</v>
      </c>
      <c r="AB37" s="16">
        <v>1000</v>
      </c>
      <c r="AC37" s="16" t="str">
        <f t="shared" si="8"/>
        <v>{9,1000}</v>
      </c>
      <c r="AD37" t="str">
        <f t="shared" si="9"/>
        <v>{{1,823000}|{2,898000}|{3,13021000}|{4,50}|{5,1250}|{6,0}|{7,0}|{8,1000}|{9,1000}}</v>
      </c>
    </row>
    <row r="38" spans="1:30">
      <c r="A38">
        <v>2014</v>
      </c>
      <c r="B38" s="3" t="s">
        <v>228</v>
      </c>
      <c r="C38">
        <v>1</v>
      </c>
      <c r="D38" s="16">
        <v>1185000</v>
      </c>
      <c r="E38" s="16" t="str">
        <f t="shared" si="0"/>
        <v>{1,1185000}</v>
      </c>
      <c r="F38" s="16">
        <v>2</v>
      </c>
      <c r="G38" s="16">
        <v>658000</v>
      </c>
      <c r="H38" s="16" t="str">
        <f t="shared" si="1"/>
        <v>{2,658000}</v>
      </c>
      <c r="I38" s="16">
        <v>3</v>
      </c>
      <c r="J38" s="16">
        <v>9950000</v>
      </c>
      <c r="K38" s="16" t="str">
        <f t="shared" si="2"/>
        <v>{3,9950000}</v>
      </c>
      <c r="L38" s="16">
        <v>4</v>
      </c>
      <c r="M38" s="16">
        <v>50</v>
      </c>
      <c r="N38" s="16" t="str">
        <f t="shared" si="3"/>
        <v>{4,50}</v>
      </c>
      <c r="O38" s="16">
        <v>5</v>
      </c>
      <c r="P38" s="16">
        <v>1250</v>
      </c>
      <c r="Q38" s="16" t="str">
        <f t="shared" si="4"/>
        <v>{5,1250}</v>
      </c>
      <c r="R38" s="16">
        <v>6</v>
      </c>
      <c r="S38" s="16">
        <v>0</v>
      </c>
      <c r="T38" s="16" t="str">
        <f t="shared" si="5"/>
        <v>{6,0}</v>
      </c>
      <c r="U38" s="16">
        <v>7</v>
      </c>
      <c r="V38" s="16">
        <v>0</v>
      </c>
      <c r="W38" s="16" t="str">
        <f t="shared" si="6"/>
        <v>{7,0}</v>
      </c>
      <c r="X38" s="16">
        <v>8</v>
      </c>
      <c r="Y38" s="16">
        <v>1000</v>
      </c>
      <c r="Z38" s="16" t="str">
        <f t="shared" si="7"/>
        <v>{8,1000}</v>
      </c>
      <c r="AA38">
        <v>9</v>
      </c>
      <c r="AB38" s="16">
        <v>1000</v>
      </c>
      <c r="AC38" s="16" t="str">
        <f t="shared" si="8"/>
        <v>{9,1000}</v>
      </c>
      <c r="AD38" t="str">
        <f t="shared" si="9"/>
        <v>{{1,1185000}|{2,658000}|{3,9950000}|{4,50}|{5,1250}|{6,0}|{7,0}|{8,1000}|{9,1000}}</v>
      </c>
    </row>
    <row r="39" spans="1:30">
      <c r="A39">
        <v>2015</v>
      </c>
      <c r="B39" s="3" t="s">
        <v>120</v>
      </c>
      <c r="C39">
        <v>1</v>
      </c>
      <c r="D39" s="16">
        <v>1197000</v>
      </c>
      <c r="E39" s="16" t="str">
        <f t="shared" si="0"/>
        <v>{1,1197000}</v>
      </c>
      <c r="F39" s="16">
        <v>2</v>
      </c>
      <c r="G39" s="16">
        <v>658000</v>
      </c>
      <c r="H39" s="16" t="str">
        <f t="shared" si="1"/>
        <v>{2,658000}</v>
      </c>
      <c r="I39" s="16">
        <v>3</v>
      </c>
      <c r="J39" s="16">
        <v>9857000</v>
      </c>
      <c r="K39" s="16" t="str">
        <f t="shared" si="2"/>
        <v>{3,9857000}</v>
      </c>
      <c r="L39" s="16">
        <v>4</v>
      </c>
      <c r="M39" s="16">
        <v>50</v>
      </c>
      <c r="N39" s="16" t="str">
        <f t="shared" si="3"/>
        <v>{4,50}</v>
      </c>
      <c r="O39" s="16">
        <v>5</v>
      </c>
      <c r="P39" s="16">
        <v>1250</v>
      </c>
      <c r="Q39" s="16" t="str">
        <f t="shared" si="4"/>
        <v>{5,1250}</v>
      </c>
      <c r="R39" s="16">
        <v>6</v>
      </c>
      <c r="S39" s="16">
        <v>0</v>
      </c>
      <c r="T39" s="16" t="str">
        <f t="shared" si="5"/>
        <v>{6,0}</v>
      </c>
      <c r="U39" s="16">
        <v>7</v>
      </c>
      <c r="V39" s="16">
        <v>0</v>
      </c>
      <c r="W39" s="16" t="str">
        <f t="shared" si="6"/>
        <v>{7,0}</v>
      </c>
      <c r="X39" s="16">
        <v>8</v>
      </c>
      <c r="Y39" s="16">
        <v>1000</v>
      </c>
      <c r="Z39" s="16" t="str">
        <f t="shared" si="7"/>
        <v>{8,1000}</v>
      </c>
      <c r="AA39">
        <v>9</v>
      </c>
      <c r="AB39" s="16">
        <v>1000</v>
      </c>
      <c r="AC39" s="16" t="str">
        <f t="shared" si="8"/>
        <v>{9,1000}</v>
      </c>
      <c r="AD39" t="str">
        <f t="shared" si="9"/>
        <v>{{1,1197000}|{2,658000}|{3,9857000}|{4,50}|{5,1250}|{6,0}|{7,0}|{8,1000}|{9,1000}}</v>
      </c>
    </row>
    <row r="40" spans="1:30">
      <c r="A40">
        <v>2016</v>
      </c>
      <c r="B40" s="3" t="s">
        <v>122</v>
      </c>
      <c r="C40">
        <v>1</v>
      </c>
      <c r="D40" s="16">
        <v>1272000</v>
      </c>
      <c r="E40" s="16" t="str">
        <f t="shared" si="0"/>
        <v>{1,1272000}</v>
      </c>
      <c r="F40" s="16">
        <v>2</v>
      </c>
      <c r="G40" s="16">
        <v>658000</v>
      </c>
      <c r="H40" s="16" t="str">
        <f t="shared" si="1"/>
        <v>{2,658000}</v>
      </c>
      <c r="I40" s="16">
        <v>3</v>
      </c>
      <c r="J40" s="16">
        <v>9213000</v>
      </c>
      <c r="K40" s="16" t="str">
        <f t="shared" si="2"/>
        <v>{3,9213000}</v>
      </c>
      <c r="L40" s="16">
        <v>4</v>
      </c>
      <c r="M40" s="16">
        <v>50</v>
      </c>
      <c r="N40" s="16" t="str">
        <f t="shared" si="3"/>
        <v>{4,50}</v>
      </c>
      <c r="O40" s="16">
        <v>5</v>
      </c>
      <c r="P40" s="16">
        <v>1250</v>
      </c>
      <c r="Q40" s="16" t="str">
        <f t="shared" si="4"/>
        <v>{5,1250}</v>
      </c>
      <c r="R40" s="16">
        <v>6</v>
      </c>
      <c r="S40" s="16">
        <v>0</v>
      </c>
      <c r="T40" s="16" t="str">
        <f t="shared" si="5"/>
        <v>{6,0}</v>
      </c>
      <c r="U40" s="16">
        <v>7</v>
      </c>
      <c r="V40" s="16">
        <v>0</v>
      </c>
      <c r="W40" s="16" t="str">
        <f t="shared" si="6"/>
        <v>{7,0}</v>
      </c>
      <c r="X40" s="16">
        <v>8</v>
      </c>
      <c r="Y40" s="16">
        <v>1000</v>
      </c>
      <c r="Z40" s="16" t="str">
        <f t="shared" si="7"/>
        <v>{8,1000}</v>
      </c>
      <c r="AA40">
        <v>9</v>
      </c>
      <c r="AB40" s="16">
        <v>1000</v>
      </c>
      <c r="AC40" s="16" t="str">
        <f t="shared" si="8"/>
        <v>{9,1000}</v>
      </c>
      <c r="AD40" t="str">
        <f t="shared" si="9"/>
        <v>{{1,1272000}|{2,658000}|{3,9213000}|{4,50}|{5,1250}|{6,0}|{7,0}|{8,1000}|{9,1000}}</v>
      </c>
    </row>
    <row r="41" spans="1:30">
      <c r="A41">
        <v>2017</v>
      </c>
      <c r="B41" s="3" t="s">
        <v>125</v>
      </c>
      <c r="C41">
        <v>1</v>
      </c>
      <c r="D41" s="16">
        <v>1039000</v>
      </c>
      <c r="E41" s="16" t="str">
        <f t="shared" si="0"/>
        <v>{1,1039000}</v>
      </c>
      <c r="F41" s="16">
        <v>2</v>
      </c>
      <c r="G41" s="16">
        <v>592000</v>
      </c>
      <c r="H41" s="16" t="str">
        <f t="shared" si="1"/>
        <v>{2,592000}</v>
      </c>
      <c r="I41" s="16">
        <v>3</v>
      </c>
      <c r="J41" s="16">
        <v>9410000</v>
      </c>
      <c r="K41" s="16" t="str">
        <f t="shared" si="2"/>
        <v>{3,9410000}</v>
      </c>
      <c r="L41" s="16">
        <v>4</v>
      </c>
      <c r="M41" s="16">
        <v>50</v>
      </c>
      <c r="N41" s="16" t="str">
        <f t="shared" si="3"/>
        <v>{4,50}</v>
      </c>
      <c r="O41" s="16">
        <v>5</v>
      </c>
      <c r="P41" s="16">
        <v>1250</v>
      </c>
      <c r="Q41" s="16" t="str">
        <f t="shared" si="4"/>
        <v>{5,1250}</v>
      </c>
      <c r="R41" s="16">
        <v>6</v>
      </c>
      <c r="S41" s="16">
        <v>0</v>
      </c>
      <c r="T41" s="16" t="str">
        <f t="shared" si="5"/>
        <v>{6,0}</v>
      </c>
      <c r="U41" s="16">
        <v>7</v>
      </c>
      <c r="V41" s="16">
        <v>0</v>
      </c>
      <c r="W41" s="16" t="str">
        <f t="shared" si="6"/>
        <v>{7,0}</v>
      </c>
      <c r="X41" s="16">
        <v>8</v>
      </c>
      <c r="Y41" s="16">
        <v>1000</v>
      </c>
      <c r="Z41" s="16" t="str">
        <f t="shared" si="7"/>
        <v>{8,1000}</v>
      </c>
      <c r="AA41">
        <v>9</v>
      </c>
      <c r="AB41" s="16">
        <v>1000</v>
      </c>
      <c r="AC41" s="16" t="str">
        <f t="shared" si="8"/>
        <v>{9,1000}</v>
      </c>
      <c r="AD41" t="str">
        <f t="shared" si="9"/>
        <v>{{1,1039000}|{2,592000}|{3,9410000}|{4,50}|{5,1250}|{6,0}|{7,0}|{8,1000}|{9,1000}}</v>
      </c>
    </row>
    <row r="42" spans="1:30">
      <c r="A42">
        <v>2018</v>
      </c>
      <c r="B42" s="3" t="s">
        <v>305</v>
      </c>
      <c r="C42">
        <v>1</v>
      </c>
      <c r="D42" s="16">
        <v>866000</v>
      </c>
      <c r="E42" s="16" t="str">
        <f t="shared" si="0"/>
        <v>{1,866000}</v>
      </c>
      <c r="F42" s="16">
        <v>2</v>
      </c>
      <c r="G42" s="16">
        <v>873000</v>
      </c>
      <c r="H42" s="16" t="str">
        <f t="shared" si="1"/>
        <v>{2,873000}</v>
      </c>
      <c r="I42" s="16">
        <v>3</v>
      </c>
      <c r="J42" s="16">
        <v>12766000</v>
      </c>
      <c r="K42" s="16" t="str">
        <f t="shared" si="2"/>
        <v>{3,12766000}</v>
      </c>
      <c r="L42" s="16">
        <v>4</v>
      </c>
      <c r="M42" s="16">
        <v>50</v>
      </c>
      <c r="N42" s="16" t="str">
        <f t="shared" si="3"/>
        <v>{4,50}</v>
      </c>
      <c r="O42" s="16">
        <v>5</v>
      </c>
      <c r="P42" s="16">
        <v>1250</v>
      </c>
      <c r="Q42" s="16" t="str">
        <f t="shared" si="4"/>
        <v>{5,1250}</v>
      </c>
      <c r="R42" s="16">
        <v>6</v>
      </c>
      <c r="S42" s="16">
        <v>0</v>
      </c>
      <c r="T42" s="16" t="str">
        <f t="shared" si="5"/>
        <v>{6,0}</v>
      </c>
      <c r="U42" s="16">
        <v>7</v>
      </c>
      <c r="V42" s="16">
        <v>0</v>
      </c>
      <c r="W42" s="16" t="str">
        <f t="shared" si="6"/>
        <v>{7,0}</v>
      </c>
      <c r="X42" s="16">
        <v>8</v>
      </c>
      <c r="Y42" s="16">
        <v>1000</v>
      </c>
      <c r="Z42" s="16" t="str">
        <f t="shared" si="7"/>
        <v>{8,1000}</v>
      </c>
      <c r="AA42">
        <v>9</v>
      </c>
      <c r="AB42" s="16">
        <v>1000</v>
      </c>
      <c r="AC42" s="16" t="str">
        <f t="shared" si="8"/>
        <v>{9,1000}</v>
      </c>
      <c r="AD42" t="str">
        <f t="shared" si="9"/>
        <v>{{1,866000}|{2,873000}|{3,12766000}|{4,50}|{5,1250}|{6,0}|{7,0}|{8,1000}|{9,1000}}</v>
      </c>
    </row>
    <row r="43" spans="1:30">
      <c r="A43">
        <v>2019</v>
      </c>
      <c r="B43" s="3" t="s">
        <v>306</v>
      </c>
      <c r="C43">
        <v>1</v>
      </c>
      <c r="D43" s="16">
        <v>1085000</v>
      </c>
      <c r="E43" s="16" t="str">
        <f t="shared" si="0"/>
        <v>{1,1085000}</v>
      </c>
      <c r="F43" s="16">
        <v>2</v>
      </c>
      <c r="G43" s="16">
        <v>638000</v>
      </c>
      <c r="H43" s="16" t="str">
        <f t="shared" si="1"/>
        <v>{2,638000}</v>
      </c>
      <c r="I43" s="16">
        <v>3</v>
      </c>
      <c r="J43" s="16">
        <v>9120000</v>
      </c>
      <c r="K43" s="16" t="str">
        <f t="shared" si="2"/>
        <v>{3,9120000}</v>
      </c>
      <c r="L43" s="16">
        <v>4</v>
      </c>
      <c r="M43" s="16">
        <v>50</v>
      </c>
      <c r="N43" s="16" t="str">
        <f t="shared" si="3"/>
        <v>{4,50}</v>
      </c>
      <c r="O43" s="16">
        <v>5</v>
      </c>
      <c r="P43" s="16">
        <v>1250</v>
      </c>
      <c r="Q43" s="16" t="str">
        <f t="shared" si="4"/>
        <v>{5,1250}</v>
      </c>
      <c r="R43" s="16">
        <v>6</v>
      </c>
      <c r="S43" s="16">
        <v>0</v>
      </c>
      <c r="T43" s="16" t="str">
        <f t="shared" si="5"/>
        <v>{6,0}</v>
      </c>
      <c r="U43" s="16">
        <v>7</v>
      </c>
      <c r="V43" s="16">
        <v>0</v>
      </c>
      <c r="W43" s="16" t="str">
        <f t="shared" si="6"/>
        <v>{7,0}</v>
      </c>
      <c r="X43" s="16">
        <v>8</v>
      </c>
      <c r="Y43" s="16">
        <v>1000</v>
      </c>
      <c r="Z43" s="16" t="str">
        <f t="shared" si="7"/>
        <v>{8,1000}</v>
      </c>
      <c r="AA43">
        <v>9</v>
      </c>
      <c r="AB43" s="16">
        <v>1000</v>
      </c>
      <c r="AC43" s="16" t="str">
        <f t="shared" si="8"/>
        <v>{9,1000}</v>
      </c>
      <c r="AD43" t="str">
        <f t="shared" si="9"/>
        <v>{{1,1085000}|{2,638000}|{3,9120000}|{4,50}|{5,1250}|{6,0}|{7,0}|{8,1000}|{9,1000}}</v>
      </c>
    </row>
    <row r="44" spans="1:30">
      <c r="A44">
        <v>3000</v>
      </c>
      <c r="B44" s="9" t="s">
        <v>128</v>
      </c>
      <c r="C44">
        <v>1</v>
      </c>
      <c r="D44" s="16">
        <v>866000</v>
      </c>
      <c r="E44" s="16" t="str">
        <f t="shared" si="0"/>
        <v>{1,866000}</v>
      </c>
      <c r="F44" s="16">
        <v>2</v>
      </c>
      <c r="G44" s="16">
        <v>881000</v>
      </c>
      <c r="H44" s="16" t="str">
        <f t="shared" si="1"/>
        <v>{2,881000}</v>
      </c>
      <c r="I44" s="16">
        <v>3</v>
      </c>
      <c r="J44" s="16">
        <v>12511000</v>
      </c>
      <c r="K44" s="16" t="str">
        <f t="shared" si="2"/>
        <v>{3,12511000}</v>
      </c>
      <c r="L44" s="16">
        <v>4</v>
      </c>
      <c r="M44" s="16">
        <v>50</v>
      </c>
      <c r="N44" s="16" t="str">
        <f t="shared" si="3"/>
        <v>{4,50}</v>
      </c>
      <c r="O44" s="16">
        <v>5</v>
      </c>
      <c r="P44" s="16">
        <v>1250</v>
      </c>
      <c r="Q44" s="16" t="str">
        <f t="shared" si="4"/>
        <v>{5,1250}</v>
      </c>
      <c r="R44" s="16">
        <v>6</v>
      </c>
      <c r="S44" s="16">
        <v>0</v>
      </c>
      <c r="T44" s="16" t="str">
        <f t="shared" si="5"/>
        <v>{6,0}</v>
      </c>
      <c r="U44" s="16">
        <v>7</v>
      </c>
      <c r="V44" s="16">
        <v>0</v>
      </c>
      <c r="W44" s="16" t="str">
        <f t="shared" si="6"/>
        <v>{7,0}</v>
      </c>
      <c r="X44" s="16">
        <v>8</v>
      </c>
      <c r="Y44" s="16">
        <v>1000</v>
      </c>
      <c r="Z44" s="16" t="str">
        <f t="shared" si="7"/>
        <v>{8,1000}</v>
      </c>
      <c r="AA44">
        <v>9</v>
      </c>
      <c r="AB44" s="16">
        <v>1000</v>
      </c>
      <c r="AC44" s="16" t="str">
        <f t="shared" si="8"/>
        <v>{9,1000}</v>
      </c>
      <c r="AD44" t="str">
        <f t="shared" si="9"/>
        <v>{{1,866000}|{2,881000}|{3,12511000}|{4,50}|{5,1250}|{6,0}|{7,0}|{8,1000}|{9,1000}}</v>
      </c>
    </row>
    <row r="45" spans="1:30">
      <c r="A45">
        <v>3001</v>
      </c>
      <c r="B45" s="9" t="s">
        <v>131</v>
      </c>
      <c r="C45">
        <v>1</v>
      </c>
      <c r="D45" s="16">
        <v>1260000</v>
      </c>
      <c r="E45" s="16" t="str">
        <f t="shared" si="0"/>
        <v>{1,1260000}</v>
      </c>
      <c r="F45" s="16">
        <v>2</v>
      </c>
      <c r="G45" s="16">
        <v>651000</v>
      </c>
      <c r="H45" s="16" t="str">
        <f t="shared" si="1"/>
        <v>{2,651000}</v>
      </c>
      <c r="I45" s="16">
        <v>3</v>
      </c>
      <c r="J45" s="16">
        <v>9213000</v>
      </c>
      <c r="K45" s="16" t="str">
        <f t="shared" si="2"/>
        <v>{3,9213000}</v>
      </c>
      <c r="L45" s="16">
        <v>4</v>
      </c>
      <c r="M45" s="16">
        <v>50</v>
      </c>
      <c r="N45" s="16" t="str">
        <f t="shared" si="3"/>
        <v>{4,50}</v>
      </c>
      <c r="O45" s="16">
        <v>5</v>
      </c>
      <c r="P45" s="16">
        <v>1250</v>
      </c>
      <c r="Q45" s="16" t="str">
        <f t="shared" si="4"/>
        <v>{5,1250}</v>
      </c>
      <c r="R45" s="16">
        <v>6</v>
      </c>
      <c r="S45" s="16">
        <v>0</v>
      </c>
      <c r="T45" s="16" t="str">
        <f t="shared" si="5"/>
        <v>{6,0}</v>
      </c>
      <c r="U45" s="16">
        <v>7</v>
      </c>
      <c r="V45" s="16">
        <v>0</v>
      </c>
      <c r="W45" s="16" t="str">
        <f t="shared" si="6"/>
        <v>{7,0}</v>
      </c>
      <c r="X45" s="16">
        <v>8</v>
      </c>
      <c r="Y45" s="16">
        <v>1000</v>
      </c>
      <c r="Z45" s="16" t="str">
        <f t="shared" si="7"/>
        <v>{8,1000}</v>
      </c>
      <c r="AA45">
        <v>9</v>
      </c>
      <c r="AB45" s="16">
        <v>1000</v>
      </c>
      <c r="AC45" s="16" t="str">
        <f t="shared" si="8"/>
        <v>{9,1000}</v>
      </c>
      <c r="AD45" t="str">
        <f t="shared" si="9"/>
        <v>{{1,1260000}|{2,651000}|{3,9213000}|{4,50}|{5,1250}|{6,0}|{7,0}|{8,1000}|{9,1000}}</v>
      </c>
    </row>
    <row r="46" spans="1:30">
      <c r="A46">
        <v>3002</v>
      </c>
      <c r="B46" s="9" t="s">
        <v>307</v>
      </c>
      <c r="C46">
        <v>1</v>
      </c>
      <c r="D46" s="16">
        <v>1247000</v>
      </c>
      <c r="E46" s="16" t="str">
        <f t="shared" si="0"/>
        <v>{1,1247000}</v>
      </c>
      <c r="F46" s="16">
        <v>2</v>
      </c>
      <c r="G46" s="16">
        <v>658000</v>
      </c>
      <c r="H46" s="16" t="str">
        <f t="shared" si="1"/>
        <v>{2,658000}</v>
      </c>
      <c r="I46" s="16">
        <v>3</v>
      </c>
      <c r="J46" s="16">
        <v>9213000</v>
      </c>
      <c r="K46" s="16" t="str">
        <f t="shared" si="2"/>
        <v>{3,9213000}</v>
      </c>
      <c r="L46" s="16">
        <v>4</v>
      </c>
      <c r="M46" s="16">
        <v>50</v>
      </c>
      <c r="N46" s="16" t="str">
        <f t="shared" si="3"/>
        <v>{4,50}</v>
      </c>
      <c r="O46" s="16">
        <v>5</v>
      </c>
      <c r="P46" s="16">
        <v>1250</v>
      </c>
      <c r="Q46" s="16" t="str">
        <f t="shared" si="4"/>
        <v>{5,1250}</v>
      </c>
      <c r="R46" s="16">
        <v>6</v>
      </c>
      <c r="S46" s="16">
        <v>0</v>
      </c>
      <c r="T46" s="16" t="str">
        <f t="shared" si="5"/>
        <v>{6,0}</v>
      </c>
      <c r="U46" s="16">
        <v>7</v>
      </c>
      <c r="V46" s="16">
        <v>0</v>
      </c>
      <c r="W46" s="16" t="str">
        <f t="shared" si="6"/>
        <v>{7,0}</v>
      </c>
      <c r="X46" s="16">
        <v>8</v>
      </c>
      <c r="Y46" s="16">
        <v>1000</v>
      </c>
      <c r="Z46" s="16" t="str">
        <f t="shared" si="7"/>
        <v>{8,1000}</v>
      </c>
      <c r="AA46">
        <v>9</v>
      </c>
      <c r="AB46" s="16">
        <v>1000</v>
      </c>
      <c r="AC46" s="16" t="str">
        <f t="shared" si="8"/>
        <v>{9,1000}</v>
      </c>
      <c r="AD46" t="str">
        <f t="shared" si="9"/>
        <v>{{1,1247000}|{2,658000}|{3,9213000}|{4,50}|{5,1250}|{6,0}|{7,0}|{8,1000}|{9,1000}}</v>
      </c>
    </row>
    <row r="47" spans="1:30">
      <c r="A47">
        <v>3003</v>
      </c>
      <c r="B47" s="9" t="s">
        <v>134</v>
      </c>
      <c r="C47">
        <v>1</v>
      </c>
      <c r="D47" s="16">
        <v>1235000</v>
      </c>
      <c r="E47" s="16" t="str">
        <f t="shared" si="0"/>
        <v>{1,1235000}</v>
      </c>
      <c r="F47" s="16">
        <v>2</v>
      </c>
      <c r="G47" s="16">
        <v>658000</v>
      </c>
      <c r="H47" s="16" t="str">
        <f t="shared" si="1"/>
        <v>{2,658000}</v>
      </c>
      <c r="I47" s="16">
        <v>3</v>
      </c>
      <c r="J47" s="16">
        <v>9489000</v>
      </c>
      <c r="K47" s="16" t="str">
        <f t="shared" si="2"/>
        <v>{3,9489000}</v>
      </c>
      <c r="L47" s="16">
        <v>4</v>
      </c>
      <c r="M47" s="16">
        <v>50</v>
      </c>
      <c r="N47" s="16" t="str">
        <f t="shared" si="3"/>
        <v>{4,50}</v>
      </c>
      <c r="O47" s="16">
        <v>5</v>
      </c>
      <c r="P47" s="16">
        <v>1250</v>
      </c>
      <c r="Q47" s="16" t="str">
        <f t="shared" si="4"/>
        <v>{5,1250}</v>
      </c>
      <c r="R47" s="16">
        <v>6</v>
      </c>
      <c r="S47" s="16">
        <v>0</v>
      </c>
      <c r="T47" s="16" t="str">
        <f t="shared" si="5"/>
        <v>{6,0}</v>
      </c>
      <c r="U47" s="16">
        <v>7</v>
      </c>
      <c r="V47" s="16">
        <v>0</v>
      </c>
      <c r="W47" s="16" t="str">
        <f t="shared" si="6"/>
        <v>{7,0}</v>
      </c>
      <c r="X47" s="16">
        <v>8</v>
      </c>
      <c r="Y47" s="16">
        <v>1000</v>
      </c>
      <c r="Z47" s="16" t="str">
        <f t="shared" si="7"/>
        <v>{8,1000}</v>
      </c>
      <c r="AA47">
        <v>9</v>
      </c>
      <c r="AB47" s="16">
        <v>1000</v>
      </c>
      <c r="AC47" s="16" t="str">
        <f t="shared" si="8"/>
        <v>{9,1000}</v>
      </c>
      <c r="AD47" t="str">
        <f t="shared" si="9"/>
        <v>{{1,1235000}|{2,658000}|{3,9489000}|{4,50}|{5,1250}|{6,0}|{7,0}|{8,1000}|{9,1000}}</v>
      </c>
    </row>
    <row r="48" spans="1:30">
      <c r="A48">
        <v>3004</v>
      </c>
      <c r="B48" s="9" t="s">
        <v>137</v>
      </c>
      <c r="C48">
        <v>1</v>
      </c>
      <c r="D48" s="16">
        <v>1309000</v>
      </c>
      <c r="E48" s="16" t="str">
        <f t="shared" si="0"/>
        <v>{1,1309000}</v>
      </c>
      <c r="F48" s="16">
        <v>2</v>
      </c>
      <c r="G48" s="16">
        <v>553000</v>
      </c>
      <c r="H48" s="16" t="str">
        <f t="shared" si="1"/>
        <v>{2,553000}</v>
      </c>
      <c r="I48" s="16">
        <v>3</v>
      </c>
      <c r="J48" s="16">
        <v>7627000</v>
      </c>
      <c r="K48" s="16" t="str">
        <f t="shared" si="2"/>
        <v>{3,7627000}</v>
      </c>
      <c r="L48" s="16">
        <v>4</v>
      </c>
      <c r="M48" s="16">
        <v>50</v>
      </c>
      <c r="N48" s="16" t="str">
        <f t="shared" si="3"/>
        <v>{4,50}</v>
      </c>
      <c r="O48" s="16">
        <v>5</v>
      </c>
      <c r="P48" s="16">
        <v>1250</v>
      </c>
      <c r="Q48" s="16" t="str">
        <f t="shared" si="4"/>
        <v>{5,1250}</v>
      </c>
      <c r="R48" s="16">
        <v>6</v>
      </c>
      <c r="S48" s="16">
        <v>0</v>
      </c>
      <c r="T48" s="16" t="str">
        <f t="shared" si="5"/>
        <v>{6,0}</v>
      </c>
      <c r="U48" s="16">
        <v>7</v>
      </c>
      <c r="V48" s="16">
        <v>0</v>
      </c>
      <c r="W48" s="16" t="str">
        <f t="shared" si="6"/>
        <v>{7,0}</v>
      </c>
      <c r="X48" s="16">
        <v>8</v>
      </c>
      <c r="Y48" s="16">
        <v>1000</v>
      </c>
      <c r="Z48" s="16" t="str">
        <f t="shared" si="7"/>
        <v>{8,1000}</v>
      </c>
      <c r="AA48">
        <v>9</v>
      </c>
      <c r="AB48" s="16">
        <v>1000</v>
      </c>
      <c r="AC48" s="16" t="str">
        <f t="shared" si="8"/>
        <v>{9,1000}</v>
      </c>
      <c r="AD48" t="str">
        <f t="shared" si="9"/>
        <v>{{1,1309000}|{2,553000}|{3,7627000}|{4,50}|{5,1250}|{6,0}|{7,0}|{8,1000}|{9,1000}}</v>
      </c>
    </row>
    <row r="49" spans="1:30">
      <c r="A49">
        <v>3005</v>
      </c>
      <c r="B49" s="9" t="s">
        <v>140</v>
      </c>
      <c r="C49">
        <v>1</v>
      </c>
      <c r="D49" s="16">
        <v>1197000</v>
      </c>
      <c r="E49" s="16" t="str">
        <f t="shared" si="0"/>
        <v>{1,1197000}</v>
      </c>
      <c r="F49" s="16">
        <v>2</v>
      </c>
      <c r="G49" s="16">
        <v>678000</v>
      </c>
      <c r="H49" s="16" t="str">
        <f t="shared" si="1"/>
        <v>{2,678000}</v>
      </c>
      <c r="I49" s="16">
        <v>3</v>
      </c>
      <c r="J49" s="16">
        <v>9489000</v>
      </c>
      <c r="K49" s="16" t="str">
        <f t="shared" si="2"/>
        <v>{3,9489000}</v>
      </c>
      <c r="L49" s="16">
        <v>4</v>
      </c>
      <c r="M49" s="16">
        <v>50</v>
      </c>
      <c r="N49" s="16" t="str">
        <f t="shared" si="3"/>
        <v>{4,50}</v>
      </c>
      <c r="O49" s="16">
        <v>5</v>
      </c>
      <c r="P49" s="16">
        <v>1250</v>
      </c>
      <c r="Q49" s="16" t="str">
        <f t="shared" si="4"/>
        <v>{5,1250}</v>
      </c>
      <c r="R49" s="16">
        <v>6</v>
      </c>
      <c r="S49" s="16">
        <v>0</v>
      </c>
      <c r="T49" s="16" t="str">
        <f t="shared" si="5"/>
        <v>{6,0}</v>
      </c>
      <c r="U49" s="16">
        <v>7</v>
      </c>
      <c r="V49" s="16">
        <v>0</v>
      </c>
      <c r="W49" s="16" t="str">
        <f t="shared" si="6"/>
        <v>{7,0}</v>
      </c>
      <c r="X49" s="16">
        <v>8</v>
      </c>
      <c r="Y49" s="16">
        <v>1000</v>
      </c>
      <c r="Z49" s="16" t="str">
        <f t="shared" si="7"/>
        <v>{8,1000}</v>
      </c>
      <c r="AA49">
        <v>9</v>
      </c>
      <c r="AB49" s="16">
        <v>1000</v>
      </c>
      <c r="AC49" s="16" t="str">
        <f t="shared" si="8"/>
        <v>{9,1000}</v>
      </c>
      <c r="AD49" t="str">
        <f t="shared" si="9"/>
        <v>{{1,1197000}|{2,678000}|{3,9489000}|{4,50}|{5,1250}|{6,0}|{7,0}|{8,1000}|{9,1000}}</v>
      </c>
    </row>
    <row r="50" spans="1:30">
      <c r="A50">
        <v>3006</v>
      </c>
      <c r="B50" s="9" t="s">
        <v>142</v>
      </c>
      <c r="C50">
        <v>1</v>
      </c>
      <c r="D50" s="16">
        <v>1247000</v>
      </c>
      <c r="E50" s="16" t="str">
        <f t="shared" si="0"/>
        <v>{1,1247000}</v>
      </c>
      <c r="F50" s="16">
        <v>2</v>
      </c>
      <c r="G50" s="16">
        <v>671000</v>
      </c>
      <c r="H50" s="16" t="str">
        <f t="shared" si="1"/>
        <v>{2,671000}</v>
      </c>
      <c r="I50" s="16">
        <v>3</v>
      </c>
      <c r="J50" s="16">
        <v>9213000</v>
      </c>
      <c r="K50" s="16" t="str">
        <f t="shared" si="2"/>
        <v>{3,9213000}</v>
      </c>
      <c r="L50" s="16">
        <v>4</v>
      </c>
      <c r="M50" s="16">
        <v>50</v>
      </c>
      <c r="N50" s="16" t="str">
        <f t="shared" si="3"/>
        <v>{4,50}</v>
      </c>
      <c r="O50" s="16">
        <v>5</v>
      </c>
      <c r="P50" s="16">
        <v>1250</v>
      </c>
      <c r="Q50" s="16" t="str">
        <f t="shared" si="4"/>
        <v>{5,1250}</v>
      </c>
      <c r="R50" s="16">
        <v>6</v>
      </c>
      <c r="S50" s="16">
        <v>0</v>
      </c>
      <c r="T50" s="16" t="str">
        <f t="shared" si="5"/>
        <v>{6,0}</v>
      </c>
      <c r="U50" s="16">
        <v>7</v>
      </c>
      <c r="V50" s="16">
        <v>0</v>
      </c>
      <c r="W50" s="16" t="str">
        <f t="shared" si="6"/>
        <v>{7,0}</v>
      </c>
      <c r="X50" s="16">
        <v>8</v>
      </c>
      <c r="Y50" s="16">
        <v>1000</v>
      </c>
      <c r="Z50" s="16" t="str">
        <f t="shared" si="7"/>
        <v>{8,1000}</v>
      </c>
      <c r="AA50">
        <v>9</v>
      </c>
      <c r="AB50" s="16">
        <v>1000</v>
      </c>
      <c r="AC50" s="16" t="str">
        <f t="shared" si="8"/>
        <v>{9,1000}</v>
      </c>
      <c r="AD50" t="str">
        <f t="shared" si="9"/>
        <v>{{1,1247000}|{2,671000}|{3,9213000}|{4,50}|{5,1250}|{6,0}|{7,0}|{8,1000}|{9,1000}}</v>
      </c>
    </row>
    <row r="51" spans="1:30">
      <c r="A51">
        <v>3007</v>
      </c>
      <c r="B51" s="9" t="s">
        <v>308</v>
      </c>
      <c r="C51">
        <v>1</v>
      </c>
      <c r="D51" s="16">
        <v>1039000</v>
      </c>
      <c r="E51" s="16" t="str">
        <f t="shared" si="0"/>
        <v>{1,1039000}</v>
      </c>
      <c r="F51" s="16">
        <v>2</v>
      </c>
      <c r="G51" s="16">
        <v>592000</v>
      </c>
      <c r="H51" s="16" t="str">
        <f t="shared" si="1"/>
        <v>{2,592000}</v>
      </c>
      <c r="I51" s="16">
        <v>3</v>
      </c>
      <c r="J51" s="16">
        <v>9692000</v>
      </c>
      <c r="K51" s="16" t="str">
        <f t="shared" si="2"/>
        <v>{3,9692000}</v>
      </c>
      <c r="L51" s="16">
        <v>4</v>
      </c>
      <c r="M51" s="16">
        <v>50</v>
      </c>
      <c r="N51" s="16" t="str">
        <f t="shared" si="3"/>
        <v>{4,50}</v>
      </c>
      <c r="O51" s="16">
        <v>5</v>
      </c>
      <c r="P51" s="16">
        <v>1250</v>
      </c>
      <c r="Q51" s="16" t="str">
        <f t="shared" si="4"/>
        <v>{5,1250}</v>
      </c>
      <c r="R51" s="16">
        <v>6</v>
      </c>
      <c r="S51" s="16">
        <v>0</v>
      </c>
      <c r="T51" s="16" t="str">
        <f t="shared" si="5"/>
        <v>{6,0}</v>
      </c>
      <c r="U51" s="16">
        <v>7</v>
      </c>
      <c r="V51" s="16">
        <v>0</v>
      </c>
      <c r="W51" s="16" t="str">
        <f t="shared" si="6"/>
        <v>{7,0}</v>
      </c>
      <c r="X51" s="16">
        <v>8</v>
      </c>
      <c r="Y51" s="16">
        <v>1000</v>
      </c>
      <c r="Z51" s="16" t="str">
        <f t="shared" si="7"/>
        <v>{8,1000}</v>
      </c>
      <c r="AA51">
        <v>9</v>
      </c>
      <c r="AB51" s="16">
        <v>1000</v>
      </c>
      <c r="AC51" s="16" t="str">
        <f t="shared" si="8"/>
        <v>{9,1000}</v>
      </c>
      <c r="AD51" t="str">
        <f t="shared" si="9"/>
        <v>{{1,1039000}|{2,592000}|{3,9692000}|{4,50}|{5,1250}|{6,0}|{7,0}|{8,1000}|{9,1000}}</v>
      </c>
    </row>
    <row r="52" spans="1:30">
      <c r="A52">
        <v>3008</v>
      </c>
      <c r="B52" s="9" t="s">
        <v>145</v>
      </c>
      <c r="C52">
        <v>1</v>
      </c>
      <c r="D52" s="16">
        <v>1334000</v>
      </c>
      <c r="E52" s="16" t="str">
        <f t="shared" si="0"/>
        <v>{1,1334000}</v>
      </c>
      <c r="F52" s="16">
        <v>2</v>
      </c>
      <c r="G52" s="16">
        <v>553000</v>
      </c>
      <c r="H52" s="16" t="str">
        <f t="shared" si="1"/>
        <v>{2,553000}</v>
      </c>
      <c r="I52" s="16">
        <v>3</v>
      </c>
      <c r="J52" s="16">
        <v>7546000</v>
      </c>
      <c r="K52" s="16" t="str">
        <f t="shared" si="2"/>
        <v>{3,7546000}</v>
      </c>
      <c r="L52" s="16">
        <v>4</v>
      </c>
      <c r="M52" s="16">
        <v>50</v>
      </c>
      <c r="N52" s="16" t="str">
        <f t="shared" si="3"/>
        <v>{4,50}</v>
      </c>
      <c r="O52" s="16">
        <v>5</v>
      </c>
      <c r="P52" s="16">
        <v>1250</v>
      </c>
      <c r="Q52" s="16" t="str">
        <f t="shared" si="4"/>
        <v>{5,1250}</v>
      </c>
      <c r="R52" s="16">
        <v>6</v>
      </c>
      <c r="S52" s="16">
        <v>0</v>
      </c>
      <c r="T52" s="16" t="str">
        <f t="shared" si="5"/>
        <v>{6,0}</v>
      </c>
      <c r="U52" s="16">
        <v>7</v>
      </c>
      <c r="V52" s="16">
        <v>0</v>
      </c>
      <c r="W52" s="16" t="str">
        <f t="shared" si="6"/>
        <v>{7,0}</v>
      </c>
      <c r="X52" s="16">
        <v>8</v>
      </c>
      <c r="Y52" s="16">
        <v>1000</v>
      </c>
      <c r="Z52" s="16" t="str">
        <f t="shared" si="7"/>
        <v>{8,1000}</v>
      </c>
      <c r="AA52">
        <v>9</v>
      </c>
      <c r="AB52" s="16">
        <v>1000</v>
      </c>
      <c r="AC52" s="16" t="str">
        <f t="shared" si="8"/>
        <v>{9,1000}</v>
      </c>
      <c r="AD52" t="str">
        <f t="shared" si="9"/>
        <v>{{1,1334000}|{2,553000}|{3,7546000}|{4,50}|{5,1250}|{6,0}|{7,0}|{8,1000}|{9,1000}}</v>
      </c>
    </row>
    <row r="53" spans="1:30">
      <c r="A53">
        <v>3009</v>
      </c>
      <c r="B53" s="9" t="s">
        <v>147</v>
      </c>
      <c r="C53">
        <v>1</v>
      </c>
      <c r="D53" s="16">
        <v>1060000</v>
      </c>
      <c r="E53" s="16" t="str">
        <f t="shared" si="0"/>
        <v>{1,1060000}</v>
      </c>
      <c r="F53" s="16">
        <v>2</v>
      </c>
      <c r="G53" s="16">
        <v>645000</v>
      </c>
      <c r="H53" s="16" t="str">
        <f t="shared" si="1"/>
        <v>{2,645000}</v>
      </c>
      <c r="I53" s="16">
        <v>3</v>
      </c>
      <c r="J53" s="16">
        <v>9213000</v>
      </c>
      <c r="K53" s="16" t="str">
        <f t="shared" si="2"/>
        <v>{3,9213000}</v>
      </c>
      <c r="L53" s="16">
        <v>4</v>
      </c>
      <c r="M53" s="16">
        <v>50</v>
      </c>
      <c r="N53" s="16" t="str">
        <f t="shared" si="3"/>
        <v>{4,50}</v>
      </c>
      <c r="O53" s="16">
        <v>5</v>
      </c>
      <c r="P53" s="16">
        <v>1250</v>
      </c>
      <c r="Q53" s="16" t="str">
        <f t="shared" si="4"/>
        <v>{5,1250}</v>
      </c>
      <c r="R53" s="16">
        <v>6</v>
      </c>
      <c r="S53" s="16">
        <v>0</v>
      </c>
      <c r="T53" s="16" t="str">
        <f t="shared" si="5"/>
        <v>{6,0}</v>
      </c>
      <c r="U53" s="16">
        <v>7</v>
      </c>
      <c r="V53" s="16">
        <v>0</v>
      </c>
      <c r="W53" s="16" t="str">
        <f t="shared" si="6"/>
        <v>{7,0}</v>
      </c>
      <c r="X53" s="16">
        <v>8</v>
      </c>
      <c r="Y53" s="16">
        <v>1000</v>
      </c>
      <c r="Z53" s="16" t="str">
        <f t="shared" si="7"/>
        <v>{8,1000}</v>
      </c>
      <c r="AA53">
        <v>9</v>
      </c>
      <c r="AB53" s="16">
        <v>1000</v>
      </c>
      <c r="AC53" s="16" t="str">
        <f t="shared" si="8"/>
        <v>{9,1000}</v>
      </c>
      <c r="AD53" t="str">
        <f t="shared" si="9"/>
        <v>{{1,1060000}|{2,645000}|{3,9213000}|{4,50}|{5,1250}|{6,0}|{7,0}|{8,1000}|{9,1000}}</v>
      </c>
    </row>
    <row r="54" spans="1:30">
      <c r="A54">
        <v>3010</v>
      </c>
      <c r="B54" s="9" t="s">
        <v>150</v>
      </c>
      <c r="C54">
        <v>1</v>
      </c>
      <c r="D54" s="16">
        <v>1481000</v>
      </c>
      <c r="E54" s="16" t="str">
        <f t="shared" si="0"/>
        <v>{1,1481000}</v>
      </c>
      <c r="F54" s="16">
        <v>2</v>
      </c>
      <c r="G54" s="16">
        <v>604000</v>
      </c>
      <c r="H54" s="16" t="str">
        <f t="shared" si="1"/>
        <v>{2,604000}</v>
      </c>
      <c r="I54" s="16">
        <v>3</v>
      </c>
      <c r="J54" s="16">
        <v>8404000</v>
      </c>
      <c r="K54" s="16" t="str">
        <f t="shared" si="2"/>
        <v>{3,8404000}</v>
      </c>
      <c r="L54" s="16">
        <v>4</v>
      </c>
      <c r="M54" s="16">
        <v>50</v>
      </c>
      <c r="N54" s="16" t="str">
        <f t="shared" si="3"/>
        <v>{4,50}</v>
      </c>
      <c r="O54" s="16">
        <v>5</v>
      </c>
      <c r="P54" s="16">
        <v>1250</v>
      </c>
      <c r="Q54" s="16" t="str">
        <f t="shared" si="4"/>
        <v>{5,1250}</v>
      </c>
      <c r="R54" s="16">
        <v>6</v>
      </c>
      <c r="S54" s="16">
        <v>0</v>
      </c>
      <c r="T54" s="16" t="str">
        <f t="shared" si="5"/>
        <v>{6,0}</v>
      </c>
      <c r="U54" s="16">
        <v>7</v>
      </c>
      <c r="V54" s="16">
        <v>0</v>
      </c>
      <c r="W54" s="16" t="str">
        <f t="shared" si="6"/>
        <v>{7,0}</v>
      </c>
      <c r="X54" s="16">
        <v>8</v>
      </c>
      <c r="Y54" s="16">
        <v>1000</v>
      </c>
      <c r="Z54" s="16" t="str">
        <f t="shared" si="7"/>
        <v>{8,1000}</v>
      </c>
      <c r="AA54">
        <v>9</v>
      </c>
      <c r="AB54" s="16">
        <v>1000</v>
      </c>
      <c r="AC54" s="16" t="str">
        <f t="shared" si="8"/>
        <v>{9,1000}</v>
      </c>
      <c r="AD54" t="str">
        <f t="shared" si="9"/>
        <v>{{1,1481000}|{2,604000}|{3,8404000}|{4,50}|{5,1250}|{6,0}|{7,0}|{8,1000}|{9,1000}}</v>
      </c>
    </row>
    <row r="55" spans="1:30">
      <c r="A55">
        <v>3011</v>
      </c>
      <c r="B55" s="9" t="s">
        <v>309</v>
      </c>
      <c r="C55">
        <v>1</v>
      </c>
      <c r="D55" s="16">
        <v>823000</v>
      </c>
      <c r="E55" s="16" t="str">
        <f t="shared" si="0"/>
        <v>{1,823000}</v>
      </c>
      <c r="F55" s="16">
        <v>2</v>
      </c>
      <c r="G55" s="16">
        <v>873000</v>
      </c>
      <c r="H55" s="16" t="str">
        <f t="shared" si="1"/>
        <v>{2,873000}</v>
      </c>
      <c r="I55" s="16">
        <v>3</v>
      </c>
      <c r="J55" s="16">
        <v>13149000</v>
      </c>
      <c r="K55" s="16" t="str">
        <f t="shared" si="2"/>
        <v>{3,13149000}</v>
      </c>
      <c r="L55" s="16">
        <v>4</v>
      </c>
      <c r="M55" s="16">
        <v>50</v>
      </c>
      <c r="N55" s="16" t="str">
        <f t="shared" si="3"/>
        <v>{4,50}</v>
      </c>
      <c r="O55" s="16">
        <v>5</v>
      </c>
      <c r="P55" s="16">
        <v>1250</v>
      </c>
      <c r="Q55" s="16" t="str">
        <f t="shared" si="4"/>
        <v>{5,1250}</v>
      </c>
      <c r="R55" s="16">
        <v>6</v>
      </c>
      <c r="S55" s="16">
        <v>0</v>
      </c>
      <c r="T55" s="16" t="str">
        <f t="shared" si="5"/>
        <v>{6,0}</v>
      </c>
      <c r="U55" s="16">
        <v>7</v>
      </c>
      <c r="V55" s="16">
        <v>0</v>
      </c>
      <c r="W55" s="16" t="str">
        <f t="shared" si="6"/>
        <v>{7,0}</v>
      </c>
      <c r="X55" s="16">
        <v>8</v>
      </c>
      <c r="Y55" s="16">
        <v>1000</v>
      </c>
      <c r="Z55" s="16" t="str">
        <f t="shared" si="7"/>
        <v>{8,1000}</v>
      </c>
      <c r="AA55">
        <v>9</v>
      </c>
      <c r="AB55" s="16">
        <v>1000</v>
      </c>
      <c r="AC55" s="16" t="str">
        <f t="shared" si="8"/>
        <v>{9,1000}</v>
      </c>
      <c r="AD55" t="str">
        <f t="shared" si="9"/>
        <v>{{1,823000}|{2,873000}|{3,13149000}|{4,50}|{5,1250}|{6,0}|{7,0}|{8,1000}|{9,1000}}</v>
      </c>
    </row>
    <row r="56" spans="1:30">
      <c r="A56">
        <v>3012</v>
      </c>
      <c r="B56" s="9" t="s">
        <v>154</v>
      </c>
      <c r="C56">
        <v>1</v>
      </c>
      <c r="D56" s="16">
        <v>831000</v>
      </c>
      <c r="E56" s="16" t="str">
        <f t="shared" si="0"/>
        <v>{1,831000}</v>
      </c>
      <c r="F56" s="16">
        <v>2</v>
      </c>
      <c r="G56" s="16">
        <v>873000</v>
      </c>
      <c r="H56" s="16" t="str">
        <f t="shared" si="1"/>
        <v>{2,873000}</v>
      </c>
      <c r="I56" s="16">
        <v>3</v>
      </c>
      <c r="J56" s="16">
        <v>13021000</v>
      </c>
      <c r="K56" s="16" t="str">
        <f t="shared" si="2"/>
        <v>{3,13021000}</v>
      </c>
      <c r="L56" s="16">
        <v>4</v>
      </c>
      <c r="M56" s="16">
        <v>50</v>
      </c>
      <c r="N56" s="16" t="str">
        <f t="shared" si="3"/>
        <v>{4,50}</v>
      </c>
      <c r="O56" s="16">
        <v>5</v>
      </c>
      <c r="P56" s="16">
        <v>1250</v>
      </c>
      <c r="Q56" s="16" t="str">
        <f t="shared" si="4"/>
        <v>{5,1250}</v>
      </c>
      <c r="R56" s="16">
        <v>6</v>
      </c>
      <c r="S56" s="16">
        <v>0</v>
      </c>
      <c r="T56" s="16" t="str">
        <f t="shared" si="5"/>
        <v>{6,0}</v>
      </c>
      <c r="U56" s="16">
        <v>7</v>
      </c>
      <c r="V56" s="16">
        <v>0</v>
      </c>
      <c r="W56" s="16" t="str">
        <f t="shared" si="6"/>
        <v>{7,0}</v>
      </c>
      <c r="X56" s="16">
        <v>8</v>
      </c>
      <c r="Y56" s="16">
        <v>1000</v>
      </c>
      <c r="Z56" s="16" t="str">
        <f t="shared" si="7"/>
        <v>{8,1000}</v>
      </c>
      <c r="AA56">
        <v>9</v>
      </c>
      <c r="AB56" s="16">
        <v>1000</v>
      </c>
      <c r="AC56" s="16" t="str">
        <f t="shared" si="8"/>
        <v>{9,1000}</v>
      </c>
      <c r="AD56" t="str">
        <f t="shared" si="9"/>
        <v>{{1,831000}|{2,873000}|{3,13021000}|{4,50}|{5,1250}|{6,0}|{7,0}|{8,1000}|{9,1000}}</v>
      </c>
    </row>
    <row r="57" spans="1:30">
      <c r="A57">
        <v>3013</v>
      </c>
      <c r="B57" s="12" t="s">
        <v>157</v>
      </c>
      <c r="C57">
        <v>1</v>
      </c>
      <c r="D57" s="16">
        <v>1039000</v>
      </c>
      <c r="E57" s="16" t="str">
        <f t="shared" si="0"/>
        <v>{1,1039000}</v>
      </c>
      <c r="F57" s="16">
        <v>2</v>
      </c>
      <c r="G57" s="16">
        <v>681000</v>
      </c>
      <c r="H57" s="16" t="str">
        <f t="shared" si="1"/>
        <v>{2,681000}</v>
      </c>
      <c r="I57" s="16">
        <v>3</v>
      </c>
      <c r="J57" s="16">
        <v>10821000</v>
      </c>
      <c r="K57" s="16" t="str">
        <f t="shared" si="2"/>
        <v>{3,10821000}</v>
      </c>
      <c r="L57" s="16">
        <v>4</v>
      </c>
      <c r="M57" s="16">
        <v>50</v>
      </c>
      <c r="N57" s="16" t="str">
        <f t="shared" si="3"/>
        <v>{4,50}</v>
      </c>
      <c r="O57" s="16">
        <v>5</v>
      </c>
      <c r="P57" s="16">
        <v>1250</v>
      </c>
      <c r="Q57" s="16" t="str">
        <f t="shared" si="4"/>
        <v>{5,1250}</v>
      </c>
      <c r="R57" s="16">
        <v>6</v>
      </c>
      <c r="S57" s="16">
        <v>0</v>
      </c>
      <c r="T57" s="16" t="str">
        <f t="shared" si="5"/>
        <v>{6,0}</v>
      </c>
      <c r="U57" s="16">
        <v>7</v>
      </c>
      <c r="V57" s="16">
        <v>0</v>
      </c>
      <c r="W57" s="16" t="str">
        <f t="shared" si="6"/>
        <v>{7,0}</v>
      </c>
      <c r="X57" s="16">
        <v>8</v>
      </c>
      <c r="Y57" s="16">
        <v>1000</v>
      </c>
      <c r="Z57" s="16" t="str">
        <f t="shared" si="7"/>
        <v>{8,1000}</v>
      </c>
      <c r="AA57">
        <v>9</v>
      </c>
      <c r="AB57" s="16">
        <v>1000</v>
      </c>
      <c r="AC57" s="16" t="str">
        <f t="shared" si="8"/>
        <v>{9,1000}</v>
      </c>
      <c r="AD57" t="str">
        <f t="shared" si="9"/>
        <v>{{1,1039000}|{2,681000}|{3,10821000}|{4,50}|{5,1250}|{6,0}|{7,0}|{8,1000}|{9,1000}}</v>
      </c>
    </row>
    <row r="58" spans="1:30">
      <c r="A58">
        <v>3014</v>
      </c>
      <c r="B58" s="9" t="s">
        <v>310</v>
      </c>
      <c r="C58">
        <v>1</v>
      </c>
      <c r="D58" s="16">
        <v>1060000</v>
      </c>
      <c r="E58" s="16" t="str">
        <f t="shared" si="0"/>
        <v>{1,1060000}</v>
      </c>
      <c r="F58" s="16">
        <v>2</v>
      </c>
      <c r="G58" s="16">
        <v>592000</v>
      </c>
      <c r="H58" s="16" t="str">
        <f t="shared" si="1"/>
        <v>{2,592000}</v>
      </c>
      <c r="I58" s="16">
        <v>3</v>
      </c>
      <c r="J58" s="16">
        <v>9222000</v>
      </c>
      <c r="K58" s="16" t="str">
        <f t="shared" si="2"/>
        <v>{3,9222000}</v>
      </c>
      <c r="L58" s="16">
        <v>4</v>
      </c>
      <c r="M58" s="16">
        <v>50</v>
      </c>
      <c r="N58" s="16" t="str">
        <f t="shared" si="3"/>
        <v>{4,50}</v>
      </c>
      <c r="O58" s="16">
        <v>5</v>
      </c>
      <c r="P58" s="16">
        <v>1250</v>
      </c>
      <c r="Q58" s="16" t="str">
        <f t="shared" si="4"/>
        <v>{5,1250}</v>
      </c>
      <c r="R58" s="16">
        <v>6</v>
      </c>
      <c r="S58" s="16">
        <v>0</v>
      </c>
      <c r="T58" s="16" t="str">
        <f t="shared" si="5"/>
        <v>{6,0}</v>
      </c>
      <c r="U58" s="16">
        <v>7</v>
      </c>
      <c r="V58" s="16">
        <v>0</v>
      </c>
      <c r="W58" s="16" t="str">
        <f t="shared" si="6"/>
        <v>{7,0}</v>
      </c>
      <c r="X58" s="16">
        <v>8</v>
      </c>
      <c r="Y58" s="16">
        <v>1000</v>
      </c>
      <c r="Z58" s="16" t="str">
        <f t="shared" si="7"/>
        <v>{8,1000}</v>
      </c>
      <c r="AA58">
        <v>9</v>
      </c>
      <c r="AB58" s="16">
        <v>1000</v>
      </c>
      <c r="AC58" s="16" t="str">
        <f t="shared" si="8"/>
        <v>{9,1000}</v>
      </c>
      <c r="AD58" t="str">
        <f t="shared" si="9"/>
        <v>{{1,1060000}|{2,592000}|{3,9222000}|{4,50}|{5,1250}|{6,0}|{7,0}|{8,1000}|{9,1000}}</v>
      </c>
    </row>
    <row r="59" spans="1:30">
      <c r="A59">
        <v>3015</v>
      </c>
      <c r="B59" s="9" t="s">
        <v>159</v>
      </c>
      <c r="C59">
        <v>1</v>
      </c>
      <c r="D59" s="16">
        <v>823000</v>
      </c>
      <c r="E59" s="16" t="str">
        <f t="shared" si="0"/>
        <v>{1,823000}</v>
      </c>
      <c r="F59" s="16">
        <v>2</v>
      </c>
      <c r="G59" s="16">
        <v>855000</v>
      </c>
      <c r="H59" s="16" t="str">
        <f t="shared" si="1"/>
        <v>{2,855000}</v>
      </c>
      <c r="I59" s="16">
        <v>3</v>
      </c>
      <c r="J59" s="16">
        <v>13404000</v>
      </c>
      <c r="K59" s="16" t="str">
        <f t="shared" si="2"/>
        <v>{3,13404000}</v>
      </c>
      <c r="L59" s="16">
        <v>4</v>
      </c>
      <c r="M59" s="16">
        <v>50</v>
      </c>
      <c r="N59" s="16" t="str">
        <f t="shared" si="3"/>
        <v>{4,50}</v>
      </c>
      <c r="O59" s="16">
        <v>5</v>
      </c>
      <c r="P59" s="16">
        <v>1250</v>
      </c>
      <c r="Q59" s="16" t="str">
        <f t="shared" si="4"/>
        <v>{5,1250}</v>
      </c>
      <c r="R59" s="16">
        <v>6</v>
      </c>
      <c r="S59" s="16">
        <v>0</v>
      </c>
      <c r="T59" s="16" t="str">
        <f t="shared" si="5"/>
        <v>{6,0}</v>
      </c>
      <c r="U59" s="16">
        <v>7</v>
      </c>
      <c r="V59" s="16">
        <v>0</v>
      </c>
      <c r="W59" s="16" t="str">
        <f t="shared" si="6"/>
        <v>{7,0}</v>
      </c>
      <c r="X59" s="16">
        <v>8</v>
      </c>
      <c r="Y59" s="16">
        <v>1000</v>
      </c>
      <c r="Z59" s="16" t="str">
        <f t="shared" si="7"/>
        <v>{8,1000}</v>
      </c>
      <c r="AA59">
        <v>9</v>
      </c>
      <c r="AB59" s="16">
        <v>1000</v>
      </c>
      <c r="AC59" s="16" t="str">
        <f t="shared" si="8"/>
        <v>{9,1000}</v>
      </c>
      <c r="AD59" t="str">
        <f t="shared" si="9"/>
        <v>{{1,823000}|{2,855000}|{3,13404000}|{4,50}|{5,1250}|{6,0}|{7,0}|{8,1000}|{9,1000}}</v>
      </c>
    </row>
    <row r="60" spans="1:30">
      <c r="A60">
        <v>3016</v>
      </c>
      <c r="B60" s="9" t="s">
        <v>161</v>
      </c>
      <c r="C60">
        <v>1</v>
      </c>
      <c r="D60" s="16">
        <v>1035000</v>
      </c>
      <c r="E60" s="16" t="str">
        <f t="shared" si="0"/>
        <v>{1,1035000}</v>
      </c>
      <c r="F60" s="16">
        <v>2</v>
      </c>
      <c r="G60" s="16">
        <v>658000</v>
      </c>
      <c r="H60" s="16" t="str">
        <f t="shared" si="1"/>
        <v>{2,658000}</v>
      </c>
      <c r="I60" s="16">
        <v>3</v>
      </c>
      <c r="J60" s="16">
        <v>9213000</v>
      </c>
      <c r="K60" s="16" t="str">
        <f t="shared" si="2"/>
        <v>{3,9213000}</v>
      </c>
      <c r="L60" s="16">
        <v>4</v>
      </c>
      <c r="M60" s="16">
        <v>50</v>
      </c>
      <c r="N60" s="16" t="str">
        <f t="shared" si="3"/>
        <v>{4,50}</v>
      </c>
      <c r="O60" s="16">
        <v>5</v>
      </c>
      <c r="P60" s="16">
        <v>1250</v>
      </c>
      <c r="Q60" s="16" t="str">
        <f t="shared" si="4"/>
        <v>{5,1250}</v>
      </c>
      <c r="R60" s="16">
        <v>6</v>
      </c>
      <c r="S60" s="16">
        <v>0</v>
      </c>
      <c r="T60" s="16" t="str">
        <f t="shared" si="5"/>
        <v>{6,0}</v>
      </c>
      <c r="U60" s="16">
        <v>7</v>
      </c>
      <c r="V60" s="16">
        <v>0</v>
      </c>
      <c r="W60" s="16" t="str">
        <f t="shared" si="6"/>
        <v>{7,0}</v>
      </c>
      <c r="X60" s="16">
        <v>8</v>
      </c>
      <c r="Y60" s="16">
        <v>1000</v>
      </c>
      <c r="Z60" s="16" t="str">
        <f t="shared" si="7"/>
        <v>{8,1000}</v>
      </c>
      <c r="AA60">
        <v>9</v>
      </c>
      <c r="AB60" s="16">
        <v>1000</v>
      </c>
      <c r="AC60" s="16" t="str">
        <f t="shared" si="8"/>
        <v>{9,1000}</v>
      </c>
      <c r="AD60" t="str">
        <f t="shared" si="9"/>
        <v>{{1,1035000}|{2,658000}|{3,9213000}|{4,50}|{5,1250}|{6,0}|{7,0}|{8,1000}|{9,1000}}</v>
      </c>
    </row>
    <row r="61" spans="1:30">
      <c r="A61">
        <v>3017</v>
      </c>
      <c r="B61" s="9" t="s">
        <v>163</v>
      </c>
      <c r="C61">
        <v>1</v>
      </c>
      <c r="D61" s="16">
        <v>1048000</v>
      </c>
      <c r="E61" s="16" t="str">
        <f t="shared" si="0"/>
        <v>{1,1048000}</v>
      </c>
      <c r="F61" s="16">
        <v>2</v>
      </c>
      <c r="G61" s="16">
        <v>658000</v>
      </c>
      <c r="H61" s="16" t="str">
        <f t="shared" si="1"/>
        <v>{2,658000}</v>
      </c>
      <c r="I61" s="16">
        <v>3</v>
      </c>
      <c r="J61" s="16">
        <v>9120000</v>
      </c>
      <c r="K61" s="16" t="str">
        <f t="shared" si="2"/>
        <v>{3,9120000}</v>
      </c>
      <c r="L61" s="16">
        <v>4</v>
      </c>
      <c r="M61" s="16">
        <v>50</v>
      </c>
      <c r="N61" s="16" t="str">
        <f t="shared" si="3"/>
        <v>{4,50}</v>
      </c>
      <c r="O61" s="16">
        <v>5</v>
      </c>
      <c r="P61" s="16">
        <v>1250</v>
      </c>
      <c r="Q61" s="16" t="str">
        <f t="shared" si="4"/>
        <v>{5,1250}</v>
      </c>
      <c r="R61" s="16">
        <v>6</v>
      </c>
      <c r="S61" s="16">
        <v>0</v>
      </c>
      <c r="T61" s="16" t="str">
        <f t="shared" si="5"/>
        <v>{6,0}</v>
      </c>
      <c r="U61" s="16">
        <v>7</v>
      </c>
      <c r="V61" s="16">
        <v>0</v>
      </c>
      <c r="W61" s="16" t="str">
        <f t="shared" si="6"/>
        <v>{7,0}</v>
      </c>
      <c r="X61" s="16">
        <v>8</v>
      </c>
      <c r="Y61" s="16">
        <v>1000</v>
      </c>
      <c r="Z61" s="16" t="str">
        <f t="shared" si="7"/>
        <v>{8,1000}</v>
      </c>
      <c r="AA61">
        <v>9</v>
      </c>
      <c r="AB61" s="16">
        <v>1000</v>
      </c>
      <c r="AC61" s="16" t="str">
        <f t="shared" si="8"/>
        <v>{9,1000}</v>
      </c>
      <c r="AD61" t="str">
        <f t="shared" si="9"/>
        <v>{{1,1048000}|{2,658000}|{3,9120000}|{4,50}|{5,1250}|{6,0}|{7,0}|{8,1000}|{9,1000}}</v>
      </c>
    </row>
    <row r="62" spans="1:30">
      <c r="A62">
        <v>3018</v>
      </c>
      <c r="B62" s="9" t="s">
        <v>166</v>
      </c>
      <c r="C62">
        <v>1</v>
      </c>
      <c r="D62" s="16">
        <v>1334000</v>
      </c>
      <c r="E62" s="16" t="str">
        <f t="shared" si="0"/>
        <v>{1,1334000}</v>
      </c>
      <c r="F62" s="16">
        <v>2</v>
      </c>
      <c r="G62" s="16">
        <v>547000</v>
      </c>
      <c r="H62" s="16" t="str">
        <f t="shared" si="1"/>
        <v>{2,547000}</v>
      </c>
      <c r="I62" s="16">
        <v>3</v>
      </c>
      <c r="J62" s="16">
        <v>7948000</v>
      </c>
      <c r="K62" s="16" t="str">
        <f t="shared" si="2"/>
        <v>{3,7948000}</v>
      </c>
      <c r="L62" s="16">
        <v>4</v>
      </c>
      <c r="M62" s="16">
        <v>50</v>
      </c>
      <c r="N62" s="16" t="str">
        <f t="shared" si="3"/>
        <v>{4,50}</v>
      </c>
      <c r="O62" s="16">
        <v>5</v>
      </c>
      <c r="P62" s="16">
        <v>1250</v>
      </c>
      <c r="Q62" s="16" t="str">
        <f t="shared" si="4"/>
        <v>{5,1250}</v>
      </c>
      <c r="R62" s="16">
        <v>6</v>
      </c>
      <c r="S62" s="16">
        <v>0</v>
      </c>
      <c r="T62" s="16" t="str">
        <f t="shared" si="5"/>
        <v>{6,0}</v>
      </c>
      <c r="U62" s="16">
        <v>7</v>
      </c>
      <c r="V62" s="16">
        <v>0</v>
      </c>
      <c r="W62" s="16" t="str">
        <f t="shared" si="6"/>
        <v>{7,0}</v>
      </c>
      <c r="X62" s="16">
        <v>8</v>
      </c>
      <c r="Y62" s="16">
        <v>1000</v>
      </c>
      <c r="Z62" s="16" t="str">
        <f t="shared" si="7"/>
        <v>{8,1000}</v>
      </c>
      <c r="AA62">
        <v>9</v>
      </c>
      <c r="AB62" s="16">
        <v>1000</v>
      </c>
      <c r="AC62" s="16" t="str">
        <f t="shared" si="8"/>
        <v>{9,1000}</v>
      </c>
      <c r="AD62" t="str">
        <f t="shared" si="9"/>
        <v>{{1,1334000}|{2,547000}|{3,7948000}|{4,50}|{5,1250}|{6,0}|{7,0}|{8,1000}|{9,1000}}</v>
      </c>
    </row>
    <row r="63" spans="1:30">
      <c r="A63">
        <v>3019</v>
      </c>
      <c r="B63" s="9" t="s">
        <v>169</v>
      </c>
      <c r="C63">
        <v>1</v>
      </c>
      <c r="D63" s="16">
        <v>823000</v>
      </c>
      <c r="E63" s="16" t="str">
        <f t="shared" si="0"/>
        <v>{1,823000}</v>
      </c>
      <c r="F63" s="16">
        <v>2</v>
      </c>
      <c r="G63" s="16">
        <v>907000</v>
      </c>
      <c r="H63" s="16" t="str">
        <f t="shared" si="1"/>
        <v>{2,907000}</v>
      </c>
      <c r="I63" s="16">
        <v>3</v>
      </c>
      <c r="J63" s="16">
        <v>13021000</v>
      </c>
      <c r="K63" s="16" t="str">
        <f t="shared" si="2"/>
        <v>{3,13021000}</v>
      </c>
      <c r="L63" s="16">
        <v>4</v>
      </c>
      <c r="M63" s="16">
        <v>50</v>
      </c>
      <c r="N63" s="16" t="str">
        <f t="shared" si="3"/>
        <v>{4,50}</v>
      </c>
      <c r="O63" s="16">
        <v>5</v>
      </c>
      <c r="P63" s="16">
        <v>1250</v>
      </c>
      <c r="Q63" s="16" t="str">
        <f t="shared" si="4"/>
        <v>{5,1250}</v>
      </c>
      <c r="R63" s="16">
        <v>6</v>
      </c>
      <c r="S63" s="16">
        <v>0</v>
      </c>
      <c r="T63" s="16" t="str">
        <f t="shared" si="5"/>
        <v>{6,0}</v>
      </c>
      <c r="U63" s="16">
        <v>7</v>
      </c>
      <c r="V63" s="16">
        <v>0</v>
      </c>
      <c r="W63" s="16" t="str">
        <f t="shared" si="6"/>
        <v>{7,0}</v>
      </c>
      <c r="X63" s="16">
        <v>8</v>
      </c>
      <c r="Y63" s="16">
        <v>1000</v>
      </c>
      <c r="Z63" s="16" t="str">
        <f t="shared" si="7"/>
        <v>{8,1000}</v>
      </c>
      <c r="AA63">
        <v>9</v>
      </c>
      <c r="AB63" s="16">
        <v>1000</v>
      </c>
      <c r="AC63" s="16" t="str">
        <f t="shared" si="8"/>
        <v>{9,1000}</v>
      </c>
      <c r="AD63" t="str">
        <f t="shared" si="9"/>
        <v>{{1,823000}|{2,907000}|{3,13021000}|{4,50}|{5,1250}|{6,0}|{7,0}|{8,1000}|{9,1000}}</v>
      </c>
    </row>
    <row r="64" spans="1:30">
      <c r="A64">
        <v>3020</v>
      </c>
      <c r="B64" s="9" t="s">
        <v>311</v>
      </c>
      <c r="C64">
        <v>1</v>
      </c>
      <c r="D64" s="16">
        <v>866000</v>
      </c>
      <c r="E64" s="16" t="str">
        <f t="shared" si="0"/>
        <v>{1,866000}</v>
      </c>
      <c r="F64" s="16">
        <v>2</v>
      </c>
      <c r="G64" s="16">
        <v>855000</v>
      </c>
      <c r="H64" s="16" t="str">
        <f t="shared" si="1"/>
        <v>{2,855000}</v>
      </c>
      <c r="I64" s="16">
        <v>3</v>
      </c>
      <c r="J64" s="16">
        <v>13277000</v>
      </c>
      <c r="K64" s="16" t="str">
        <f t="shared" si="2"/>
        <v>{3,13277000}</v>
      </c>
      <c r="L64" s="16">
        <v>4</v>
      </c>
      <c r="M64" s="16">
        <v>50</v>
      </c>
      <c r="N64" s="16" t="str">
        <f t="shared" si="3"/>
        <v>{4,50}</v>
      </c>
      <c r="O64" s="16">
        <v>5</v>
      </c>
      <c r="P64" s="16">
        <v>1250</v>
      </c>
      <c r="Q64" s="16" t="str">
        <f t="shared" si="4"/>
        <v>{5,1250}</v>
      </c>
      <c r="R64" s="16">
        <v>6</v>
      </c>
      <c r="S64" s="16">
        <v>0</v>
      </c>
      <c r="T64" s="16" t="str">
        <f t="shared" si="5"/>
        <v>{6,0}</v>
      </c>
      <c r="U64" s="16">
        <v>7</v>
      </c>
      <c r="V64" s="16">
        <v>0</v>
      </c>
      <c r="W64" s="16" t="str">
        <f t="shared" si="6"/>
        <v>{7,0}</v>
      </c>
      <c r="X64" s="16">
        <v>8</v>
      </c>
      <c r="Y64" s="16">
        <v>1000</v>
      </c>
      <c r="Z64" s="16" t="str">
        <f t="shared" si="7"/>
        <v>{8,1000}</v>
      </c>
      <c r="AA64">
        <v>9</v>
      </c>
      <c r="AB64" s="16">
        <v>1000</v>
      </c>
      <c r="AC64" s="16" t="str">
        <f t="shared" si="8"/>
        <v>{9,1000}</v>
      </c>
      <c r="AD64" t="str">
        <f t="shared" si="9"/>
        <v>{{1,866000}|{2,855000}|{3,13277000}|{4,50}|{5,1250}|{6,0}|{7,0}|{8,1000}|{9,1000}}</v>
      </c>
    </row>
    <row r="65" spans="1:30">
      <c r="A65">
        <v>3021</v>
      </c>
      <c r="B65" s="9" t="s">
        <v>171</v>
      </c>
      <c r="C65">
        <v>1</v>
      </c>
      <c r="D65" s="16">
        <v>1247000</v>
      </c>
      <c r="E65" s="16" t="str">
        <f t="shared" si="0"/>
        <v>{1,1247000}</v>
      </c>
      <c r="F65" s="16">
        <v>2</v>
      </c>
      <c r="G65" s="16">
        <v>665000</v>
      </c>
      <c r="H65" s="16" t="str">
        <f t="shared" si="1"/>
        <v>{2,665000}</v>
      </c>
      <c r="I65" s="16">
        <v>3</v>
      </c>
      <c r="J65" s="16">
        <v>9489000</v>
      </c>
      <c r="K65" s="16" t="str">
        <f t="shared" si="2"/>
        <v>{3,9489000}</v>
      </c>
      <c r="L65" s="16">
        <v>4</v>
      </c>
      <c r="M65" s="16">
        <v>50</v>
      </c>
      <c r="N65" s="16" t="str">
        <f t="shared" si="3"/>
        <v>{4,50}</v>
      </c>
      <c r="O65" s="16">
        <v>5</v>
      </c>
      <c r="P65" s="16">
        <v>1250</v>
      </c>
      <c r="Q65" s="16" t="str">
        <f t="shared" si="4"/>
        <v>{5,1250}</v>
      </c>
      <c r="R65" s="16">
        <v>6</v>
      </c>
      <c r="S65" s="16">
        <v>0</v>
      </c>
      <c r="T65" s="16" t="str">
        <f t="shared" si="5"/>
        <v>{6,0}</v>
      </c>
      <c r="U65" s="16">
        <v>7</v>
      </c>
      <c r="V65" s="16">
        <v>0</v>
      </c>
      <c r="W65" s="16" t="str">
        <f t="shared" si="6"/>
        <v>{7,0}</v>
      </c>
      <c r="X65" s="16">
        <v>8</v>
      </c>
      <c r="Y65" s="16">
        <v>1000</v>
      </c>
      <c r="Z65" s="16" t="str">
        <f t="shared" si="7"/>
        <v>{8,1000}</v>
      </c>
      <c r="AA65">
        <v>9</v>
      </c>
      <c r="AB65" s="16">
        <v>1000</v>
      </c>
      <c r="AC65" s="16" t="str">
        <f t="shared" si="8"/>
        <v>{9,1000}</v>
      </c>
      <c r="AD65" t="str">
        <f t="shared" si="9"/>
        <v>{{1,1247000}|{2,665000}|{3,9489000}|{4,50}|{5,1250}|{6,0}|{7,0}|{8,1000}|{9,1000}}</v>
      </c>
    </row>
    <row r="66" ht="28.5" spans="1:30">
      <c r="A66">
        <v>4000</v>
      </c>
      <c r="B66" s="3" t="s">
        <v>173</v>
      </c>
      <c r="C66">
        <v>1</v>
      </c>
      <c r="D66" s="16">
        <v>1272000</v>
      </c>
      <c r="E66" s="16" t="str">
        <f t="shared" si="0"/>
        <v>{1,1272000}</v>
      </c>
      <c r="F66" s="16">
        <v>2</v>
      </c>
      <c r="G66" s="16">
        <v>661000</v>
      </c>
      <c r="H66" s="16" t="str">
        <f t="shared" si="1"/>
        <v>{2,661000}</v>
      </c>
      <c r="I66" s="16">
        <v>3</v>
      </c>
      <c r="J66" s="16">
        <v>9213000</v>
      </c>
      <c r="K66" s="16" t="str">
        <f t="shared" si="2"/>
        <v>{3,9213000}</v>
      </c>
      <c r="L66" s="16">
        <v>4</v>
      </c>
      <c r="M66" s="16">
        <v>50</v>
      </c>
      <c r="N66" s="16" t="str">
        <f t="shared" si="3"/>
        <v>{4,50}</v>
      </c>
      <c r="O66" s="16">
        <v>5</v>
      </c>
      <c r="P66" s="16">
        <v>1250</v>
      </c>
      <c r="Q66" s="16" t="str">
        <f t="shared" si="4"/>
        <v>{5,1250}</v>
      </c>
      <c r="R66" s="16">
        <v>6</v>
      </c>
      <c r="S66" s="16">
        <v>0</v>
      </c>
      <c r="T66" s="16" t="str">
        <f t="shared" si="5"/>
        <v>{6,0}</v>
      </c>
      <c r="U66" s="16">
        <v>7</v>
      </c>
      <c r="V66" s="16">
        <v>0</v>
      </c>
      <c r="W66" s="16" t="str">
        <f t="shared" si="6"/>
        <v>{7,0}</v>
      </c>
      <c r="X66" s="16">
        <v>8</v>
      </c>
      <c r="Y66" s="16">
        <v>1000</v>
      </c>
      <c r="Z66" s="16" t="str">
        <f t="shared" si="7"/>
        <v>{8,1000}</v>
      </c>
      <c r="AA66">
        <v>9</v>
      </c>
      <c r="AB66" s="16">
        <v>1000</v>
      </c>
      <c r="AC66" s="16" t="str">
        <f t="shared" si="8"/>
        <v>{9,1000}</v>
      </c>
      <c r="AD66" t="str">
        <f t="shared" si="9"/>
        <v>{{1,1272000}|{2,661000}|{3,9213000}|{4,50}|{5,1250}|{6,0}|{7,0}|{8,1000}|{9,1000}}</v>
      </c>
    </row>
    <row r="67" spans="1:30">
      <c r="A67">
        <v>4001</v>
      </c>
      <c r="B67" s="3" t="s">
        <v>176</v>
      </c>
      <c r="C67">
        <v>1</v>
      </c>
      <c r="D67" s="16">
        <v>1247000</v>
      </c>
      <c r="E67" s="16" t="str">
        <f t="shared" si="0"/>
        <v>{1,1247000}</v>
      </c>
      <c r="F67" s="16">
        <v>2</v>
      </c>
      <c r="G67" s="16">
        <v>651000</v>
      </c>
      <c r="H67" s="16" t="str">
        <f t="shared" si="1"/>
        <v>{2,651000}</v>
      </c>
      <c r="I67" s="16">
        <v>3</v>
      </c>
      <c r="J67" s="16">
        <v>9489000</v>
      </c>
      <c r="K67" s="16" t="str">
        <f t="shared" si="2"/>
        <v>{3,9489000}</v>
      </c>
      <c r="L67" s="16">
        <v>4</v>
      </c>
      <c r="M67" s="16">
        <v>50</v>
      </c>
      <c r="N67" s="16" t="str">
        <f t="shared" si="3"/>
        <v>{4,50}</v>
      </c>
      <c r="O67" s="16">
        <v>5</v>
      </c>
      <c r="P67" s="16">
        <v>1250</v>
      </c>
      <c r="Q67" s="16" t="str">
        <f t="shared" si="4"/>
        <v>{5,1250}</v>
      </c>
      <c r="R67" s="16">
        <v>6</v>
      </c>
      <c r="S67" s="16">
        <v>0</v>
      </c>
      <c r="T67" s="16" t="str">
        <f t="shared" si="5"/>
        <v>{6,0}</v>
      </c>
      <c r="U67" s="16">
        <v>7</v>
      </c>
      <c r="V67" s="16">
        <v>0</v>
      </c>
      <c r="W67" s="16" t="str">
        <f t="shared" si="6"/>
        <v>{7,0}</v>
      </c>
      <c r="X67" s="16">
        <v>8</v>
      </c>
      <c r="Y67" s="16">
        <v>1000</v>
      </c>
      <c r="Z67" s="16" t="str">
        <f t="shared" si="7"/>
        <v>{8,1000}</v>
      </c>
      <c r="AA67">
        <v>9</v>
      </c>
      <c r="AB67" s="16">
        <v>1000</v>
      </c>
      <c r="AC67" s="16" t="str">
        <f t="shared" si="8"/>
        <v>{9,1000}</v>
      </c>
      <c r="AD67" t="str">
        <f t="shared" si="9"/>
        <v>{{1,1247000}|{2,651000}|{3,9489000}|{4,50}|{5,1250}|{6,0}|{7,0}|{8,1000}|{9,1000}}</v>
      </c>
    </row>
    <row r="68" spans="1:30">
      <c r="A68">
        <v>4002</v>
      </c>
      <c r="B68" s="3" t="s">
        <v>179</v>
      </c>
      <c r="C68">
        <v>1</v>
      </c>
      <c r="D68" s="16">
        <v>1297000</v>
      </c>
      <c r="E68" s="16" t="str">
        <f t="shared" si="0"/>
        <v>{1,1297000}</v>
      </c>
      <c r="F68" s="16">
        <v>2</v>
      </c>
      <c r="G68" s="16">
        <v>651000</v>
      </c>
      <c r="H68" s="16" t="str">
        <f t="shared" si="1"/>
        <v>{2,651000}</v>
      </c>
      <c r="I68" s="16">
        <v>3</v>
      </c>
      <c r="J68" s="16">
        <v>9213000</v>
      </c>
      <c r="K68" s="16" t="str">
        <f t="shared" si="2"/>
        <v>{3,9213000}</v>
      </c>
      <c r="L68" s="16">
        <v>4</v>
      </c>
      <c r="M68" s="16">
        <v>50</v>
      </c>
      <c r="N68" s="16" t="str">
        <f t="shared" si="3"/>
        <v>{4,50}</v>
      </c>
      <c r="O68" s="16">
        <v>5</v>
      </c>
      <c r="P68" s="16">
        <v>1250</v>
      </c>
      <c r="Q68" s="16" t="str">
        <f t="shared" si="4"/>
        <v>{5,1250}</v>
      </c>
      <c r="R68" s="16">
        <v>6</v>
      </c>
      <c r="S68" s="16">
        <v>0</v>
      </c>
      <c r="T68" s="16" t="str">
        <f t="shared" si="5"/>
        <v>{6,0}</v>
      </c>
      <c r="U68" s="16">
        <v>7</v>
      </c>
      <c r="V68" s="16">
        <v>0</v>
      </c>
      <c r="W68" s="16" t="str">
        <f t="shared" si="6"/>
        <v>{7,0}</v>
      </c>
      <c r="X68" s="16">
        <v>8</v>
      </c>
      <c r="Y68" s="16">
        <v>1000</v>
      </c>
      <c r="Z68" s="16" t="str">
        <f t="shared" si="7"/>
        <v>{8,1000}</v>
      </c>
      <c r="AA68">
        <v>9</v>
      </c>
      <c r="AB68" s="16">
        <v>1000</v>
      </c>
      <c r="AC68" s="16" t="str">
        <f t="shared" si="8"/>
        <v>{9,1000}</v>
      </c>
      <c r="AD68" t="str">
        <f t="shared" si="9"/>
        <v>{{1,1297000}|{2,651000}|{3,9213000}|{4,50}|{5,1250}|{6,0}|{7,0}|{8,1000}|{9,1000}}</v>
      </c>
    </row>
    <row r="69" spans="1:30">
      <c r="A69">
        <v>4003</v>
      </c>
      <c r="B69" s="3" t="s">
        <v>312</v>
      </c>
      <c r="C69">
        <v>1</v>
      </c>
      <c r="D69" s="16">
        <v>823000</v>
      </c>
      <c r="E69" s="16" t="str">
        <f t="shared" si="0"/>
        <v>{1,823000}</v>
      </c>
      <c r="F69" s="16">
        <v>2</v>
      </c>
      <c r="G69" s="16">
        <v>924000</v>
      </c>
      <c r="H69" s="16" t="str">
        <f t="shared" si="1"/>
        <v>{2,924000}</v>
      </c>
      <c r="I69" s="16">
        <v>3</v>
      </c>
      <c r="J69" s="16">
        <v>12766000</v>
      </c>
      <c r="K69" s="16" t="str">
        <f t="shared" si="2"/>
        <v>{3,12766000}</v>
      </c>
      <c r="L69" s="16">
        <v>4</v>
      </c>
      <c r="M69" s="16">
        <v>50</v>
      </c>
      <c r="N69" s="16" t="str">
        <f t="shared" si="3"/>
        <v>{4,50}</v>
      </c>
      <c r="O69" s="16">
        <v>5</v>
      </c>
      <c r="P69" s="16">
        <v>1250</v>
      </c>
      <c r="Q69" s="16" t="str">
        <f t="shared" si="4"/>
        <v>{5,1250}</v>
      </c>
      <c r="R69" s="16">
        <v>6</v>
      </c>
      <c r="S69" s="16">
        <v>0</v>
      </c>
      <c r="T69" s="16" t="str">
        <f t="shared" si="5"/>
        <v>{6,0}</v>
      </c>
      <c r="U69" s="16">
        <v>7</v>
      </c>
      <c r="V69" s="16">
        <v>0</v>
      </c>
      <c r="W69" s="16" t="str">
        <f t="shared" si="6"/>
        <v>{7,0}</v>
      </c>
      <c r="X69" s="16">
        <v>8</v>
      </c>
      <c r="Y69" s="16">
        <v>1000</v>
      </c>
      <c r="Z69" s="16" t="str">
        <f t="shared" si="7"/>
        <v>{8,1000}</v>
      </c>
      <c r="AA69">
        <v>9</v>
      </c>
      <c r="AB69" s="16">
        <v>1000</v>
      </c>
      <c r="AC69" s="16" t="str">
        <f t="shared" si="8"/>
        <v>{9,1000}</v>
      </c>
      <c r="AD69" t="str">
        <f t="shared" si="9"/>
        <v>{{1,823000}|{2,924000}|{3,12766000}|{4,50}|{5,1250}|{6,0}|{7,0}|{8,1000}|{9,1000}}</v>
      </c>
    </row>
    <row r="70" spans="1:30">
      <c r="A70">
        <v>4004</v>
      </c>
      <c r="B70" s="3" t="s">
        <v>181</v>
      </c>
      <c r="C70">
        <v>1</v>
      </c>
      <c r="D70" s="16">
        <v>823000</v>
      </c>
      <c r="E70" s="16" t="str">
        <f t="shared" ref="E70:E106" si="10">$E$3&amp;C70&amp;$E$5&amp;D70&amp;$E$4</f>
        <v>{1,823000}</v>
      </c>
      <c r="F70" s="16">
        <v>2</v>
      </c>
      <c r="G70" s="16">
        <v>855000</v>
      </c>
      <c r="H70" s="16" t="str">
        <f t="shared" ref="H70:H106" si="11">$E$3&amp;F70&amp;$E$5&amp;G70&amp;$E$4</f>
        <v>{2,855000}</v>
      </c>
      <c r="I70" s="16">
        <v>3</v>
      </c>
      <c r="J70" s="16">
        <v>13404000</v>
      </c>
      <c r="K70" s="16" t="str">
        <f t="shared" ref="K70:K106" si="12">$E$3&amp;I70&amp;$E$5&amp;J70&amp;$E$4</f>
        <v>{3,13404000}</v>
      </c>
      <c r="L70" s="16">
        <v>4</v>
      </c>
      <c r="M70" s="16">
        <v>50</v>
      </c>
      <c r="N70" s="16" t="str">
        <f t="shared" ref="N70:N106" si="13">$E$3&amp;L70&amp;$E$5&amp;M70&amp;$E$4</f>
        <v>{4,50}</v>
      </c>
      <c r="O70" s="16">
        <v>5</v>
      </c>
      <c r="P70" s="16">
        <v>1250</v>
      </c>
      <c r="Q70" s="16" t="str">
        <f t="shared" ref="Q70:Q106" si="14">$E$3&amp;O70&amp;$E$5&amp;P70&amp;$E$4</f>
        <v>{5,1250}</v>
      </c>
      <c r="R70" s="16">
        <v>6</v>
      </c>
      <c r="S70" s="16">
        <v>0</v>
      </c>
      <c r="T70" s="16" t="str">
        <f t="shared" ref="T70:T106" si="15">$E$3&amp;R70&amp;$E$5&amp;S70&amp;$E$4</f>
        <v>{6,0}</v>
      </c>
      <c r="U70" s="16">
        <v>7</v>
      </c>
      <c r="V70" s="16">
        <v>0</v>
      </c>
      <c r="W70" s="16" t="str">
        <f t="shared" ref="W70:W106" si="16">$E$3&amp;U70&amp;$E$5&amp;V70&amp;$E$4</f>
        <v>{7,0}</v>
      </c>
      <c r="X70" s="16">
        <v>8</v>
      </c>
      <c r="Y70" s="16">
        <v>1000</v>
      </c>
      <c r="Z70" s="16" t="str">
        <f t="shared" ref="Z70:Z106" si="17">$E$3&amp;X70&amp;$E$5&amp;Y70&amp;$E$4</f>
        <v>{8,1000}</v>
      </c>
      <c r="AA70">
        <v>9</v>
      </c>
      <c r="AB70" s="16">
        <v>1000</v>
      </c>
      <c r="AC70" s="16" t="str">
        <f t="shared" ref="AC70:AC106" si="18">$E$3&amp;AA70&amp;$E$5&amp;AB70&amp;$E$4</f>
        <v>{9,1000}</v>
      </c>
      <c r="AD70" t="str">
        <f t="shared" ref="AD70:AD106" si="19">$AD$3&amp;E70&amp;$AD$5&amp;H70&amp;$AD$5&amp;K70&amp;$AD$5&amp;N70&amp;$AD$5&amp;Q70&amp;$AD$5&amp;T70&amp;$AD$5&amp;W70&amp;$AD$5&amp;Z70&amp;$AD$5&amp;AC70&amp;$AD$4</f>
        <v>{{1,823000}|{2,855000}|{3,13404000}|{4,50}|{5,1250}|{6,0}|{7,0}|{8,1000}|{9,1000}}</v>
      </c>
    </row>
    <row r="71" spans="1:30">
      <c r="A71">
        <v>4005</v>
      </c>
      <c r="B71" s="3" t="s">
        <v>183</v>
      </c>
      <c r="C71">
        <v>1</v>
      </c>
      <c r="D71" s="16">
        <v>1334000</v>
      </c>
      <c r="E71" s="16" t="str">
        <f t="shared" si="10"/>
        <v>{1,1334000}</v>
      </c>
      <c r="F71" s="16">
        <v>2</v>
      </c>
      <c r="G71" s="16">
        <v>525000</v>
      </c>
      <c r="H71" s="16" t="str">
        <f t="shared" si="11"/>
        <v>{2,525000}</v>
      </c>
      <c r="I71" s="16">
        <v>3</v>
      </c>
      <c r="J71" s="16">
        <v>7867000</v>
      </c>
      <c r="K71" s="16" t="str">
        <f t="shared" si="12"/>
        <v>{3,7867000}</v>
      </c>
      <c r="L71" s="16">
        <v>4</v>
      </c>
      <c r="M71" s="16">
        <v>50</v>
      </c>
      <c r="N71" s="16" t="str">
        <f t="shared" si="13"/>
        <v>{4,50}</v>
      </c>
      <c r="O71" s="16">
        <v>5</v>
      </c>
      <c r="P71" s="16">
        <v>1250</v>
      </c>
      <c r="Q71" s="16" t="str">
        <f t="shared" si="14"/>
        <v>{5,1250}</v>
      </c>
      <c r="R71" s="16">
        <v>6</v>
      </c>
      <c r="S71" s="16">
        <v>0</v>
      </c>
      <c r="T71" s="16" t="str">
        <f t="shared" si="15"/>
        <v>{6,0}</v>
      </c>
      <c r="U71" s="16">
        <v>7</v>
      </c>
      <c r="V71" s="16">
        <v>0</v>
      </c>
      <c r="W71" s="16" t="str">
        <f t="shared" si="16"/>
        <v>{7,0}</v>
      </c>
      <c r="X71" s="16">
        <v>8</v>
      </c>
      <c r="Y71" s="16">
        <v>1000</v>
      </c>
      <c r="Z71" s="16" t="str">
        <f t="shared" si="17"/>
        <v>{8,1000}</v>
      </c>
      <c r="AA71">
        <v>9</v>
      </c>
      <c r="AB71" s="16">
        <v>1000</v>
      </c>
      <c r="AC71" s="16" t="str">
        <f t="shared" si="18"/>
        <v>{9,1000}</v>
      </c>
      <c r="AD71" t="str">
        <f t="shared" si="19"/>
        <v>{{1,1334000}|{2,525000}|{3,7867000}|{4,50}|{5,1250}|{6,0}|{7,0}|{8,1000}|{9,1000}}</v>
      </c>
    </row>
    <row r="72" spans="1:30">
      <c r="A72">
        <v>4006</v>
      </c>
      <c r="B72" s="3" t="s">
        <v>186</v>
      </c>
      <c r="C72">
        <v>1</v>
      </c>
      <c r="D72" s="16">
        <v>1334000</v>
      </c>
      <c r="E72" s="16" t="str">
        <f t="shared" si="10"/>
        <v>{1,1334000}</v>
      </c>
      <c r="F72" s="16">
        <v>2</v>
      </c>
      <c r="G72" s="16">
        <v>547000</v>
      </c>
      <c r="H72" s="16" t="str">
        <f t="shared" si="11"/>
        <v>{2,547000}</v>
      </c>
      <c r="I72" s="16">
        <v>3</v>
      </c>
      <c r="J72" s="16">
        <v>7627000</v>
      </c>
      <c r="K72" s="16" t="str">
        <f t="shared" si="12"/>
        <v>{3,7627000}</v>
      </c>
      <c r="L72" s="16">
        <v>4</v>
      </c>
      <c r="M72" s="16">
        <v>50</v>
      </c>
      <c r="N72" s="16" t="str">
        <f t="shared" si="13"/>
        <v>{4,50}</v>
      </c>
      <c r="O72" s="16">
        <v>5</v>
      </c>
      <c r="P72" s="16">
        <v>1250</v>
      </c>
      <c r="Q72" s="16" t="str">
        <f t="shared" si="14"/>
        <v>{5,1250}</v>
      </c>
      <c r="R72" s="16">
        <v>6</v>
      </c>
      <c r="S72" s="16">
        <v>0</v>
      </c>
      <c r="T72" s="16" t="str">
        <f t="shared" si="15"/>
        <v>{6,0}</v>
      </c>
      <c r="U72" s="16">
        <v>7</v>
      </c>
      <c r="V72" s="16">
        <v>0</v>
      </c>
      <c r="W72" s="16" t="str">
        <f t="shared" si="16"/>
        <v>{7,0}</v>
      </c>
      <c r="X72" s="16">
        <v>8</v>
      </c>
      <c r="Y72" s="16">
        <v>1000</v>
      </c>
      <c r="Z72" s="16" t="str">
        <f t="shared" si="17"/>
        <v>{8,1000}</v>
      </c>
      <c r="AA72">
        <v>9</v>
      </c>
      <c r="AB72" s="16">
        <v>1000</v>
      </c>
      <c r="AC72" s="16" t="str">
        <f t="shared" si="18"/>
        <v>{9,1000}</v>
      </c>
      <c r="AD72" t="str">
        <f t="shared" si="19"/>
        <v>{{1,1334000}|{2,547000}|{3,7627000}|{4,50}|{5,1250}|{6,0}|{7,0}|{8,1000}|{9,1000}}</v>
      </c>
    </row>
    <row r="73" spans="1:30">
      <c r="A73">
        <v>4007</v>
      </c>
      <c r="B73" s="3" t="s">
        <v>189</v>
      </c>
      <c r="C73">
        <v>1</v>
      </c>
      <c r="D73" s="16">
        <v>823000</v>
      </c>
      <c r="E73" s="16" t="str">
        <f t="shared" si="10"/>
        <v>{1,823000}</v>
      </c>
      <c r="F73" s="16">
        <v>2</v>
      </c>
      <c r="G73" s="16">
        <v>941000</v>
      </c>
      <c r="H73" s="16" t="str">
        <f t="shared" si="11"/>
        <v>{2,941000}</v>
      </c>
      <c r="I73" s="16">
        <v>3</v>
      </c>
      <c r="J73" s="16">
        <v>12511000</v>
      </c>
      <c r="K73" s="16" t="str">
        <f t="shared" si="12"/>
        <v>{3,12511000}</v>
      </c>
      <c r="L73" s="16">
        <v>4</v>
      </c>
      <c r="M73" s="16">
        <v>50</v>
      </c>
      <c r="N73" s="16" t="str">
        <f t="shared" si="13"/>
        <v>{4,50}</v>
      </c>
      <c r="O73" s="16">
        <v>5</v>
      </c>
      <c r="P73" s="16">
        <v>1250</v>
      </c>
      <c r="Q73" s="16" t="str">
        <f t="shared" si="14"/>
        <v>{5,1250}</v>
      </c>
      <c r="R73" s="16">
        <v>6</v>
      </c>
      <c r="S73" s="16">
        <v>0</v>
      </c>
      <c r="T73" s="16" t="str">
        <f t="shared" si="15"/>
        <v>{6,0}</v>
      </c>
      <c r="U73" s="16">
        <v>7</v>
      </c>
      <c r="V73" s="16">
        <v>0</v>
      </c>
      <c r="W73" s="16" t="str">
        <f t="shared" si="16"/>
        <v>{7,0}</v>
      </c>
      <c r="X73" s="16">
        <v>8</v>
      </c>
      <c r="Y73" s="16">
        <v>1000</v>
      </c>
      <c r="Z73" s="16" t="str">
        <f t="shared" si="17"/>
        <v>{8,1000}</v>
      </c>
      <c r="AA73">
        <v>9</v>
      </c>
      <c r="AB73" s="16">
        <v>1000</v>
      </c>
      <c r="AC73" s="16" t="str">
        <f t="shared" si="18"/>
        <v>{9,1000}</v>
      </c>
      <c r="AD73" t="str">
        <f t="shared" si="19"/>
        <v>{{1,823000}|{2,941000}|{3,12511000}|{4,50}|{5,1250}|{6,0}|{7,0}|{8,1000}|{9,1000}}</v>
      </c>
    </row>
    <row r="74" spans="1:30">
      <c r="A74">
        <v>4008</v>
      </c>
      <c r="B74" s="3" t="s">
        <v>313</v>
      </c>
      <c r="C74">
        <v>1</v>
      </c>
      <c r="D74" s="16">
        <v>831000</v>
      </c>
      <c r="E74" s="16" t="str">
        <f t="shared" si="10"/>
        <v>{1,831000}</v>
      </c>
      <c r="F74" s="16">
        <v>2</v>
      </c>
      <c r="G74" s="16">
        <v>924000</v>
      </c>
      <c r="H74" s="16" t="str">
        <f t="shared" si="11"/>
        <v>{2,924000}</v>
      </c>
      <c r="I74" s="16">
        <v>3</v>
      </c>
      <c r="J74" s="16">
        <v>12766000</v>
      </c>
      <c r="K74" s="16" t="str">
        <f t="shared" si="12"/>
        <v>{3,12766000}</v>
      </c>
      <c r="L74" s="16">
        <v>4</v>
      </c>
      <c r="M74" s="16">
        <v>50</v>
      </c>
      <c r="N74" s="16" t="str">
        <f t="shared" si="13"/>
        <v>{4,50}</v>
      </c>
      <c r="O74" s="16">
        <v>5</v>
      </c>
      <c r="P74" s="16">
        <v>1250</v>
      </c>
      <c r="Q74" s="16" t="str">
        <f t="shared" si="14"/>
        <v>{5,1250}</v>
      </c>
      <c r="R74" s="16">
        <v>6</v>
      </c>
      <c r="S74" s="16">
        <v>0</v>
      </c>
      <c r="T74" s="16" t="str">
        <f t="shared" si="15"/>
        <v>{6,0}</v>
      </c>
      <c r="U74" s="16">
        <v>7</v>
      </c>
      <c r="V74" s="16">
        <v>0</v>
      </c>
      <c r="W74" s="16" t="str">
        <f t="shared" si="16"/>
        <v>{7,0}</v>
      </c>
      <c r="X74" s="16">
        <v>8</v>
      </c>
      <c r="Y74" s="16">
        <v>1000</v>
      </c>
      <c r="Z74" s="16" t="str">
        <f t="shared" si="17"/>
        <v>{8,1000}</v>
      </c>
      <c r="AA74">
        <v>9</v>
      </c>
      <c r="AB74" s="16">
        <v>1000</v>
      </c>
      <c r="AC74" s="16" t="str">
        <f t="shared" si="18"/>
        <v>{9,1000}</v>
      </c>
      <c r="AD74" t="str">
        <f t="shared" si="19"/>
        <v>{{1,831000}|{2,924000}|{3,12766000}|{4,50}|{5,1250}|{6,0}|{7,0}|{8,1000}|{9,1000}}</v>
      </c>
    </row>
    <row r="75" spans="1:30">
      <c r="A75">
        <v>4009</v>
      </c>
      <c r="B75" s="3" t="s">
        <v>191</v>
      </c>
      <c r="C75">
        <v>1</v>
      </c>
      <c r="D75" s="16">
        <v>1160000</v>
      </c>
      <c r="E75" s="16" t="str">
        <f t="shared" si="10"/>
        <v>{1,1160000}</v>
      </c>
      <c r="F75" s="16">
        <v>2</v>
      </c>
      <c r="G75" s="16">
        <v>612000</v>
      </c>
      <c r="H75" s="16" t="str">
        <f t="shared" si="11"/>
        <v>{2,612000}</v>
      </c>
      <c r="I75" s="16">
        <v>3</v>
      </c>
      <c r="J75" s="16">
        <v>8383000</v>
      </c>
      <c r="K75" s="16" t="str">
        <f t="shared" si="12"/>
        <v>{3,8383000}</v>
      </c>
      <c r="L75" s="16">
        <v>4</v>
      </c>
      <c r="M75" s="16">
        <v>50</v>
      </c>
      <c r="N75" s="16" t="str">
        <f t="shared" si="13"/>
        <v>{4,50}</v>
      </c>
      <c r="O75" s="16">
        <v>5</v>
      </c>
      <c r="P75" s="16">
        <v>1250</v>
      </c>
      <c r="Q75" s="16" t="str">
        <f t="shared" si="14"/>
        <v>{5,1250}</v>
      </c>
      <c r="R75" s="16">
        <v>6</v>
      </c>
      <c r="S75" s="16">
        <v>0</v>
      </c>
      <c r="T75" s="16" t="str">
        <f t="shared" si="15"/>
        <v>{6,0}</v>
      </c>
      <c r="U75" s="16">
        <v>7</v>
      </c>
      <c r="V75" s="16">
        <v>0</v>
      </c>
      <c r="W75" s="16" t="str">
        <f t="shared" si="16"/>
        <v>{7,0}</v>
      </c>
      <c r="X75" s="16">
        <v>8</v>
      </c>
      <c r="Y75" s="16">
        <v>1000</v>
      </c>
      <c r="Z75" s="16" t="str">
        <f t="shared" si="17"/>
        <v>{8,1000}</v>
      </c>
      <c r="AA75">
        <v>9</v>
      </c>
      <c r="AB75" s="16">
        <v>1000</v>
      </c>
      <c r="AC75" s="16" t="str">
        <f t="shared" si="18"/>
        <v>{9,1000}</v>
      </c>
      <c r="AD75" t="str">
        <f t="shared" si="19"/>
        <v>{{1,1160000}|{2,612000}|{3,8383000}|{4,50}|{5,1250}|{6,0}|{7,0}|{8,1000}|{9,1000}}</v>
      </c>
    </row>
    <row r="76" spans="1:30">
      <c r="A76">
        <v>4010</v>
      </c>
      <c r="B76" s="3" t="s">
        <v>314</v>
      </c>
      <c r="C76">
        <v>1</v>
      </c>
      <c r="D76" s="16">
        <v>1249000</v>
      </c>
      <c r="E76" s="16" t="str">
        <f t="shared" si="10"/>
        <v>{1,1249000}</v>
      </c>
      <c r="F76" s="16">
        <v>2</v>
      </c>
      <c r="G76" s="16">
        <v>553000</v>
      </c>
      <c r="H76" s="16" t="str">
        <f t="shared" si="11"/>
        <v>{2,553000}</v>
      </c>
      <c r="I76" s="16">
        <v>3</v>
      </c>
      <c r="J76" s="16">
        <v>8108000</v>
      </c>
      <c r="K76" s="16" t="str">
        <f t="shared" si="12"/>
        <v>{3,8108000}</v>
      </c>
      <c r="L76" s="16">
        <v>4</v>
      </c>
      <c r="M76" s="16">
        <v>50</v>
      </c>
      <c r="N76" s="16" t="str">
        <f t="shared" si="13"/>
        <v>{4,50}</v>
      </c>
      <c r="O76" s="16">
        <v>5</v>
      </c>
      <c r="P76" s="16">
        <v>1250</v>
      </c>
      <c r="Q76" s="16" t="str">
        <f t="shared" si="14"/>
        <v>{5,1250}</v>
      </c>
      <c r="R76" s="16">
        <v>6</v>
      </c>
      <c r="S76" s="16">
        <v>0</v>
      </c>
      <c r="T76" s="16" t="str">
        <f t="shared" si="15"/>
        <v>{6,0}</v>
      </c>
      <c r="U76" s="16">
        <v>7</v>
      </c>
      <c r="V76" s="16">
        <v>0</v>
      </c>
      <c r="W76" s="16" t="str">
        <f t="shared" si="16"/>
        <v>{7,0}</v>
      </c>
      <c r="X76" s="16">
        <v>8</v>
      </c>
      <c r="Y76" s="16">
        <v>1000</v>
      </c>
      <c r="Z76" s="16" t="str">
        <f t="shared" si="17"/>
        <v>{8,1000}</v>
      </c>
      <c r="AA76">
        <v>9</v>
      </c>
      <c r="AB76" s="16">
        <v>1000</v>
      </c>
      <c r="AC76" s="16" t="str">
        <f t="shared" si="18"/>
        <v>{9,1000}</v>
      </c>
      <c r="AD76" t="str">
        <f t="shared" si="19"/>
        <v>{{1,1249000}|{2,553000}|{3,8108000}|{4,50}|{5,1250}|{6,0}|{7,0}|{8,1000}|{9,1000}}</v>
      </c>
    </row>
    <row r="77" spans="1:30">
      <c r="A77">
        <v>4011</v>
      </c>
      <c r="B77" s="3" t="s">
        <v>315</v>
      </c>
      <c r="C77">
        <v>1</v>
      </c>
      <c r="D77" s="16">
        <v>823000</v>
      </c>
      <c r="E77" s="16" t="str">
        <f t="shared" si="10"/>
        <v>{1,823000}</v>
      </c>
      <c r="F77" s="16">
        <v>2</v>
      </c>
      <c r="G77" s="16">
        <v>864000</v>
      </c>
      <c r="H77" s="16" t="str">
        <f t="shared" si="11"/>
        <v>{2,864000}</v>
      </c>
      <c r="I77" s="16">
        <v>3</v>
      </c>
      <c r="J77" s="16">
        <v>13277000</v>
      </c>
      <c r="K77" s="16" t="str">
        <f t="shared" si="12"/>
        <v>{3,13277000}</v>
      </c>
      <c r="L77" s="16">
        <v>4</v>
      </c>
      <c r="M77" s="16">
        <v>50</v>
      </c>
      <c r="N77" s="16" t="str">
        <f t="shared" si="13"/>
        <v>{4,50}</v>
      </c>
      <c r="O77" s="16">
        <v>5</v>
      </c>
      <c r="P77" s="16">
        <v>1250</v>
      </c>
      <c r="Q77" s="16" t="str">
        <f t="shared" si="14"/>
        <v>{5,1250}</v>
      </c>
      <c r="R77" s="16">
        <v>6</v>
      </c>
      <c r="S77" s="16">
        <v>0</v>
      </c>
      <c r="T77" s="16" t="str">
        <f t="shared" si="15"/>
        <v>{6,0}</v>
      </c>
      <c r="U77" s="16">
        <v>7</v>
      </c>
      <c r="V77" s="16">
        <v>0</v>
      </c>
      <c r="W77" s="16" t="str">
        <f t="shared" si="16"/>
        <v>{7,0}</v>
      </c>
      <c r="X77" s="16">
        <v>8</v>
      </c>
      <c r="Y77" s="16">
        <v>1000</v>
      </c>
      <c r="Z77" s="16" t="str">
        <f t="shared" si="17"/>
        <v>{8,1000}</v>
      </c>
      <c r="AA77">
        <v>9</v>
      </c>
      <c r="AB77" s="16">
        <v>1000</v>
      </c>
      <c r="AC77" s="16" t="str">
        <f t="shared" si="18"/>
        <v>{9,1000}</v>
      </c>
      <c r="AD77" t="str">
        <f t="shared" si="19"/>
        <v>{{1,823000}|{2,864000}|{3,13277000}|{4,50}|{5,1250}|{6,0}|{7,0}|{8,1000}|{9,1000}}</v>
      </c>
    </row>
    <row r="78" spans="1:30">
      <c r="A78">
        <v>4012</v>
      </c>
      <c r="B78" s="3" t="s">
        <v>194</v>
      </c>
      <c r="C78">
        <v>1</v>
      </c>
      <c r="D78" s="16">
        <v>1637000</v>
      </c>
      <c r="E78" s="16" t="str">
        <f t="shared" si="10"/>
        <v>{1,1637000}</v>
      </c>
      <c r="F78" s="16">
        <v>2</v>
      </c>
      <c r="G78" s="16">
        <v>586000</v>
      </c>
      <c r="H78" s="16" t="str">
        <f t="shared" si="11"/>
        <v>{2,586000}</v>
      </c>
      <c r="I78" s="16">
        <v>3</v>
      </c>
      <c r="J78" s="16">
        <v>8160000</v>
      </c>
      <c r="K78" s="16" t="str">
        <f t="shared" si="12"/>
        <v>{3,8160000}</v>
      </c>
      <c r="L78" s="16">
        <v>4</v>
      </c>
      <c r="M78" s="16">
        <v>50</v>
      </c>
      <c r="N78" s="16" t="str">
        <f t="shared" si="13"/>
        <v>{4,50}</v>
      </c>
      <c r="O78" s="16">
        <v>5</v>
      </c>
      <c r="P78" s="16">
        <v>1250</v>
      </c>
      <c r="Q78" s="16" t="str">
        <f t="shared" si="14"/>
        <v>{5,1250}</v>
      </c>
      <c r="R78" s="16">
        <v>6</v>
      </c>
      <c r="S78" s="16">
        <v>0</v>
      </c>
      <c r="T78" s="16" t="str">
        <f t="shared" si="15"/>
        <v>{6,0}</v>
      </c>
      <c r="U78" s="16">
        <v>7</v>
      </c>
      <c r="V78" s="16">
        <v>0</v>
      </c>
      <c r="W78" s="16" t="str">
        <f t="shared" si="16"/>
        <v>{7,0}</v>
      </c>
      <c r="X78" s="16">
        <v>8</v>
      </c>
      <c r="Y78" s="16">
        <v>1000</v>
      </c>
      <c r="Z78" s="16" t="str">
        <f t="shared" si="17"/>
        <v>{8,1000}</v>
      </c>
      <c r="AA78">
        <v>9</v>
      </c>
      <c r="AB78" s="16">
        <v>1000</v>
      </c>
      <c r="AC78" s="16" t="str">
        <f t="shared" si="18"/>
        <v>{9,1000}</v>
      </c>
      <c r="AD78" t="str">
        <f t="shared" si="19"/>
        <v>{{1,1637000}|{2,586000}|{3,8160000}|{4,50}|{5,1250}|{6,0}|{7,0}|{8,1000}|{9,1000}}</v>
      </c>
    </row>
    <row r="79" spans="1:30">
      <c r="A79">
        <v>4013</v>
      </c>
      <c r="B79" s="3" t="s">
        <v>316</v>
      </c>
      <c r="C79">
        <v>1</v>
      </c>
      <c r="D79" s="16">
        <v>1237000</v>
      </c>
      <c r="E79" s="16" t="str">
        <f t="shared" si="10"/>
        <v>{1,1237000}</v>
      </c>
      <c r="F79" s="16">
        <v>2</v>
      </c>
      <c r="G79" s="16">
        <v>553000</v>
      </c>
      <c r="H79" s="16" t="str">
        <f t="shared" si="11"/>
        <v>{2,553000}</v>
      </c>
      <c r="I79" s="16">
        <v>3</v>
      </c>
      <c r="J79" s="16">
        <v>7948000</v>
      </c>
      <c r="K79" s="16" t="str">
        <f t="shared" si="12"/>
        <v>{3,7948000}</v>
      </c>
      <c r="L79" s="16">
        <v>4</v>
      </c>
      <c r="M79" s="16">
        <v>50</v>
      </c>
      <c r="N79" s="16" t="str">
        <f t="shared" si="13"/>
        <v>{4,50}</v>
      </c>
      <c r="O79" s="16">
        <v>5</v>
      </c>
      <c r="P79" s="16">
        <v>1250</v>
      </c>
      <c r="Q79" s="16" t="str">
        <f t="shared" si="14"/>
        <v>{5,1250}</v>
      </c>
      <c r="R79" s="16">
        <v>6</v>
      </c>
      <c r="S79" s="16">
        <v>0</v>
      </c>
      <c r="T79" s="16" t="str">
        <f t="shared" si="15"/>
        <v>{6,0}</v>
      </c>
      <c r="U79" s="16">
        <v>7</v>
      </c>
      <c r="V79" s="16">
        <v>0</v>
      </c>
      <c r="W79" s="16" t="str">
        <f t="shared" si="16"/>
        <v>{7,0}</v>
      </c>
      <c r="X79" s="16">
        <v>8</v>
      </c>
      <c r="Y79" s="16">
        <v>1000</v>
      </c>
      <c r="Z79" s="16" t="str">
        <f t="shared" si="17"/>
        <v>{8,1000}</v>
      </c>
      <c r="AA79">
        <v>9</v>
      </c>
      <c r="AB79" s="16">
        <v>1000</v>
      </c>
      <c r="AC79" s="16" t="str">
        <f t="shared" si="18"/>
        <v>{9,1000}</v>
      </c>
      <c r="AD79" t="str">
        <f t="shared" si="19"/>
        <v>{{1,1237000}|{2,553000}|{3,7948000}|{4,50}|{5,1250}|{6,0}|{7,0}|{8,1000}|{9,1000}}</v>
      </c>
    </row>
    <row r="80" spans="1:30">
      <c r="A80">
        <v>4014</v>
      </c>
      <c r="B80" s="3" t="s">
        <v>196</v>
      </c>
      <c r="C80">
        <v>1</v>
      </c>
      <c r="D80" s="16">
        <v>1222000</v>
      </c>
      <c r="E80" s="16" t="str">
        <f t="shared" si="10"/>
        <v>{1,1222000}</v>
      </c>
      <c r="F80" s="16">
        <v>2</v>
      </c>
      <c r="G80" s="16">
        <v>671000</v>
      </c>
      <c r="H80" s="16" t="str">
        <f t="shared" si="11"/>
        <v>{2,671000}</v>
      </c>
      <c r="I80" s="16">
        <v>3</v>
      </c>
      <c r="J80" s="16">
        <v>9443000</v>
      </c>
      <c r="K80" s="16" t="str">
        <f t="shared" si="12"/>
        <v>{3,9443000}</v>
      </c>
      <c r="L80" s="16">
        <v>4</v>
      </c>
      <c r="M80" s="16">
        <v>50</v>
      </c>
      <c r="N80" s="16" t="str">
        <f t="shared" si="13"/>
        <v>{4,50}</v>
      </c>
      <c r="O80" s="16">
        <v>5</v>
      </c>
      <c r="P80" s="16">
        <v>1250</v>
      </c>
      <c r="Q80" s="16" t="str">
        <f t="shared" si="14"/>
        <v>{5,1250}</v>
      </c>
      <c r="R80" s="16">
        <v>6</v>
      </c>
      <c r="S80" s="16">
        <v>0</v>
      </c>
      <c r="T80" s="16" t="str">
        <f t="shared" si="15"/>
        <v>{6,0}</v>
      </c>
      <c r="U80" s="16">
        <v>7</v>
      </c>
      <c r="V80" s="16">
        <v>0</v>
      </c>
      <c r="W80" s="16" t="str">
        <f t="shared" si="16"/>
        <v>{7,0}</v>
      </c>
      <c r="X80" s="16">
        <v>8</v>
      </c>
      <c r="Y80" s="16">
        <v>1000</v>
      </c>
      <c r="Z80" s="16" t="str">
        <f t="shared" si="17"/>
        <v>{8,1000}</v>
      </c>
      <c r="AA80">
        <v>9</v>
      </c>
      <c r="AB80" s="16">
        <v>1000</v>
      </c>
      <c r="AC80" s="16" t="str">
        <f t="shared" si="18"/>
        <v>{9,1000}</v>
      </c>
      <c r="AD80" t="str">
        <f t="shared" si="19"/>
        <v>{{1,1222000}|{2,671000}|{3,9443000}|{4,50}|{5,1250}|{6,0}|{7,0}|{8,1000}|{9,1000}}</v>
      </c>
    </row>
    <row r="81" spans="1:30">
      <c r="A81">
        <v>4015</v>
      </c>
      <c r="B81" s="3" t="s">
        <v>198</v>
      </c>
      <c r="C81">
        <v>1</v>
      </c>
      <c r="D81" s="16">
        <v>1334000</v>
      </c>
      <c r="E81" s="16" t="str">
        <f t="shared" si="10"/>
        <v>{1,1334000}</v>
      </c>
      <c r="F81" s="16">
        <v>2</v>
      </c>
      <c r="G81" s="16">
        <v>542000</v>
      </c>
      <c r="H81" s="16" t="str">
        <f t="shared" si="11"/>
        <v>{2,542000}</v>
      </c>
      <c r="I81" s="16">
        <v>3</v>
      </c>
      <c r="J81" s="16">
        <v>7627000</v>
      </c>
      <c r="K81" s="16" t="str">
        <f t="shared" si="12"/>
        <v>{3,7627000}</v>
      </c>
      <c r="L81" s="16">
        <v>4</v>
      </c>
      <c r="M81" s="16">
        <v>50</v>
      </c>
      <c r="N81" s="16" t="str">
        <f t="shared" si="13"/>
        <v>{4,50}</v>
      </c>
      <c r="O81" s="16">
        <v>5</v>
      </c>
      <c r="P81" s="16">
        <v>1250</v>
      </c>
      <c r="Q81" s="16" t="str">
        <f t="shared" si="14"/>
        <v>{5,1250}</v>
      </c>
      <c r="R81" s="16">
        <v>6</v>
      </c>
      <c r="S81" s="16">
        <v>0</v>
      </c>
      <c r="T81" s="16" t="str">
        <f t="shared" si="15"/>
        <v>{6,0}</v>
      </c>
      <c r="U81" s="16">
        <v>7</v>
      </c>
      <c r="V81" s="16">
        <v>0</v>
      </c>
      <c r="W81" s="16" t="str">
        <f t="shared" si="16"/>
        <v>{7,0}</v>
      </c>
      <c r="X81" s="16">
        <v>8</v>
      </c>
      <c r="Y81" s="16">
        <v>1000</v>
      </c>
      <c r="Z81" s="16" t="str">
        <f t="shared" si="17"/>
        <v>{8,1000}</v>
      </c>
      <c r="AA81">
        <v>9</v>
      </c>
      <c r="AB81" s="16">
        <v>1000</v>
      </c>
      <c r="AC81" s="16" t="str">
        <f t="shared" si="18"/>
        <v>{9,1000}</v>
      </c>
      <c r="AD81" t="str">
        <f t="shared" si="19"/>
        <v>{{1,1334000}|{2,542000}|{3,7627000}|{4,50}|{5,1250}|{6,0}|{7,0}|{8,1000}|{9,1000}}</v>
      </c>
    </row>
    <row r="82" spans="1:30">
      <c r="A82">
        <v>4016</v>
      </c>
      <c r="B82" s="3" t="s">
        <v>200</v>
      </c>
      <c r="C82">
        <v>1</v>
      </c>
      <c r="D82" s="16">
        <v>1185000</v>
      </c>
      <c r="E82" s="16" t="str">
        <f t="shared" si="10"/>
        <v>{1,1185000}</v>
      </c>
      <c r="F82" s="16">
        <v>2</v>
      </c>
      <c r="G82" s="16">
        <v>592000</v>
      </c>
      <c r="H82" s="16" t="str">
        <f t="shared" si="11"/>
        <v>{2,592000}</v>
      </c>
      <c r="I82" s="16">
        <v>3</v>
      </c>
      <c r="J82" s="16">
        <v>8568000</v>
      </c>
      <c r="K82" s="16" t="str">
        <f t="shared" si="12"/>
        <v>{3,8568000}</v>
      </c>
      <c r="L82" s="16">
        <v>4</v>
      </c>
      <c r="M82" s="16">
        <v>50</v>
      </c>
      <c r="N82" s="16" t="str">
        <f t="shared" si="13"/>
        <v>{4,50}</v>
      </c>
      <c r="O82" s="16">
        <v>5</v>
      </c>
      <c r="P82" s="16">
        <v>1250</v>
      </c>
      <c r="Q82" s="16" t="str">
        <f t="shared" si="14"/>
        <v>{5,1250}</v>
      </c>
      <c r="R82" s="16">
        <v>6</v>
      </c>
      <c r="S82" s="16">
        <v>0</v>
      </c>
      <c r="T82" s="16" t="str">
        <f t="shared" si="15"/>
        <v>{6,0}</v>
      </c>
      <c r="U82" s="16">
        <v>7</v>
      </c>
      <c r="V82" s="16">
        <v>0</v>
      </c>
      <c r="W82" s="16" t="str">
        <f t="shared" si="16"/>
        <v>{7,0}</v>
      </c>
      <c r="X82" s="16">
        <v>8</v>
      </c>
      <c r="Y82" s="16">
        <v>1000</v>
      </c>
      <c r="Z82" s="16" t="str">
        <f t="shared" si="17"/>
        <v>{8,1000}</v>
      </c>
      <c r="AA82">
        <v>9</v>
      </c>
      <c r="AB82" s="16">
        <v>1000</v>
      </c>
      <c r="AC82" s="16" t="str">
        <f t="shared" si="18"/>
        <v>{9,1000}</v>
      </c>
      <c r="AD82" t="str">
        <f t="shared" si="19"/>
        <v>{{1,1185000}|{2,592000}|{3,8568000}|{4,50}|{5,1250}|{6,0}|{7,0}|{8,1000}|{9,1000}}</v>
      </c>
    </row>
    <row r="83" spans="1:30">
      <c r="A83">
        <v>4017</v>
      </c>
      <c r="B83" s="3" t="s">
        <v>202</v>
      </c>
      <c r="C83">
        <v>1</v>
      </c>
      <c r="D83" s="16">
        <v>1334000</v>
      </c>
      <c r="E83" s="16" t="str">
        <f t="shared" si="10"/>
        <v>{1,1334000}</v>
      </c>
      <c r="F83" s="16">
        <v>2</v>
      </c>
      <c r="G83" s="16">
        <v>553000</v>
      </c>
      <c r="H83" s="16" t="str">
        <f t="shared" si="11"/>
        <v>{2,553000}</v>
      </c>
      <c r="I83" s="16">
        <v>3</v>
      </c>
      <c r="J83" s="16">
        <v>7627000</v>
      </c>
      <c r="K83" s="16" t="str">
        <f t="shared" si="12"/>
        <v>{3,7627000}</v>
      </c>
      <c r="L83" s="16">
        <v>4</v>
      </c>
      <c r="M83" s="16">
        <v>50</v>
      </c>
      <c r="N83" s="16" t="str">
        <f t="shared" si="13"/>
        <v>{4,50}</v>
      </c>
      <c r="O83" s="16">
        <v>5</v>
      </c>
      <c r="P83" s="16">
        <v>1250</v>
      </c>
      <c r="Q83" s="16" t="str">
        <f t="shared" si="14"/>
        <v>{5,1250}</v>
      </c>
      <c r="R83" s="16">
        <v>6</v>
      </c>
      <c r="S83" s="16">
        <v>0</v>
      </c>
      <c r="T83" s="16" t="str">
        <f t="shared" si="15"/>
        <v>{6,0}</v>
      </c>
      <c r="U83" s="16">
        <v>7</v>
      </c>
      <c r="V83" s="16">
        <v>0</v>
      </c>
      <c r="W83" s="16" t="str">
        <f t="shared" si="16"/>
        <v>{7,0}</v>
      </c>
      <c r="X83" s="16">
        <v>8</v>
      </c>
      <c r="Y83" s="16">
        <v>1000</v>
      </c>
      <c r="Z83" s="16" t="str">
        <f t="shared" si="17"/>
        <v>{8,1000}</v>
      </c>
      <c r="AA83">
        <v>9</v>
      </c>
      <c r="AB83" s="16">
        <v>1000</v>
      </c>
      <c r="AC83" s="16" t="str">
        <f t="shared" si="18"/>
        <v>{9,1000}</v>
      </c>
      <c r="AD83" t="str">
        <f t="shared" si="19"/>
        <v>{{1,1334000}|{2,553000}|{3,7627000}|{4,50}|{5,1250}|{6,0}|{7,0}|{8,1000}|{9,1000}}</v>
      </c>
    </row>
    <row r="84" spans="1:30">
      <c r="A84">
        <v>4018</v>
      </c>
      <c r="B84" s="3" t="s">
        <v>204</v>
      </c>
      <c r="C84">
        <v>1</v>
      </c>
      <c r="D84" s="16">
        <v>1197000</v>
      </c>
      <c r="E84" s="16" t="str">
        <f t="shared" si="10"/>
        <v>{1,1197000}</v>
      </c>
      <c r="F84" s="16">
        <v>2</v>
      </c>
      <c r="G84" s="16">
        <v>671000</v>
      </c>
      <c r="H84" s="16" t="str">
        <f t="shared" si="11"/>
        <v>{2,671000}</v>
      </c>
      <c r="I84" s="16">
        <v>3</v>
      </c>
      <c r="J84" s="16">
        <v>9397000</v>
      </c>
      <c r="K84" s="16" t="str">
        <f t="shared" si="12"/>
        <v>{3,9397000}</v>
      </c>
      <c r="L84" s="16">
        <v>4</v>
      </c>
      <c r="M84" s="16">
        <v>50</v>
      </c>
      <c r="N84" s="16" t="str">
        <f t="shared" si="13"/>
        <v>{4,50}</v>
      </c>
      <c r="O84" s="16">
        <v>5</v>
      </c>
      <c r="P84" s="16">
        <v>1250</v>
      </c>
      <c r="Q84" s="16" t="str">
        <f t="shared" si="14"/>
        <v>{5,1250}</v>
      </c>
      <c r="R84" s="16">
        <v>6</v>
      </c>
      <c r="S84" s="16">
        <v>0</v>
      </c>
      <c r="T84" s="16" t="str">
        <f t="shared" si="15"/>
        <v>{6,0}</v>
      </c>
      <c r="U84" s="16">
        <v>7</v>
      </c>
      <c r="V84" s="16">
        <v>0</v>
      </c>
      <c r="W84" s="16" t="str">
        <f t="shared" si="16"/>
        <v>{7,0}</v>
      </c>
      <c r="X84" s="16">
        <v>8</v>
      </c>
      <c r="Y84" s="16">
        <v>1000</v>
      </c>
      <c r="Z84" s="16" t="str">
        <f t="shared" si="17"/>
        <v>{8,1000}</v>
      </c>
      <c r="AA84">
        <v>9</v>
      </c>
      <c r="AB84" s="16">
        <v>1000</v>
      </c>
      <c r="AC84" s="16" t="str">
        <f t="shared" si="18"/>
        <v>{9,1000}</v>
      </c>
      <c r="AD84" t="str">
        <f t="shared" si="19"/>
        <v>{{1,1197000}|{2,671000}|{3,9397000}|{4,50}|{5,1250}|{6,0}|{7,0}|{8,1000}|{9,1000}}</v>
      </c>
    </row>
    <row r="85" spans="1:30">
      <c r="A85">
        <v>4019</v>
      </c>
      <c r="B85" s="3" t="s">
        <v>207</v>
      </c>
      <c r="C85">
        <v>1</v>
      </c>
      <c r="D85" s="16">
        <v>1574000</v>
      </c>
      <c r="E85" s="16" t="str">
        <f t="shared" si="10"/>
        <v>{1,1574000}</v>
      </c>
      <c r="F85" s="16">
        <v>2</v>
      </c>
      <c r="G85" s="16">
        <v>592000</v>
      </c>
      <c r="H85" s="16" t="str">
        <f t="shared" si="11"/>
        <v>{2,592000}</v>
      </c>
      <c r="I85" s="16">
        <v>3</v>
      </c>
      <c r="J85" s="16">
        <v>8078000</v>
      </c>
      <c r="K85" s="16" t="str">
        <f t="shared" si="12"/>
        <v>{3,8078000}</v>
      </c>
      <c r="L85" s="16">
        <v>4</v>
      </c>
      <c r="M85" s="16">
        <v>50</v>
      </c>
      <c r="N85" s="16" t="str">
        <f t="shared" si="13"/>
        <v>{4,50}</v>
      </c>
      <c r="O85" s="16">
        <v>5</v>
      </c>
      <c r="P85" s="16">
        <v>1250</v>
      </c>
      <c r="Q85" s="16" t="str">
        <f t="shared" si="14"/>
        <v>{5,1250}</v>
      </c>
      <c r="R85" s="16">
        <v>6</v>
      </c>
      <c r="S85" s="16">
        <v>0</v>
      </c>
      <c r="T85" s="16" t="str">
        <f t="shared" si="15"/>
        <v>{6,0}</v>
      </c>
      <c r="U85" s="16">
        <v>7</v>
      </c>
      <c r="V85" s="16">
        <v>0</v>
      </c>
      <c r="W85" s="16" t="str">
        <f t="shared" si="16"/>
        <v>{7,0}</v>
      </c>
      <c r="X85" s="16">
        <v>8</v>
      </c>
      <c r="Y85" s="16">
        <v>1000</v>
      </c>
      <c r="Z85" s="16" t="str">
        <f t="shared" si="17"/>
        <v>{8,1000}</v>
      </c>
      <c r="AA85">
        <v>9</v>
      </c>
      <c r="AB85" s="16">
        <v>1000</v>
      </c>
      <c r="AC85" s="16" t="str">
        <f t="shared" si="18"/>
        <v>{9,1000}</v>
      </c>
      <c r="AD85" t="str">
        <f t="shared" si="19"/>
        <v>{{1,1574000}|{2,592000}|{3,8078000}|{4,50}|{5,1250}|{6,0}|{7,0}|{8,1000}|{9,1000}}</v>
      </c>
    </row>
    <row r="86" spans="1:30">
      <c r="A86">
        <v>4020</v>
      </c>
      <c r="B86" s="3" t="s">
        <v>317</v>
      </c>
      <c r="C86">
        <v>1</v>
      </c>
      <c r="D86" s="16">
        <v>866000</v>
      </c>
      <c r="E86" s="16" t="str">
        <f t="shared" si="10"/>
        <v>{1,866000}</v>
      </c>
      <c r="F86" s="16">
        <v>2</v>
      </c>
      <c r="G86" s="16">
        <v>890000</v>
      </c>
      <c r="H86" s="16" t="str">
        <f t="shared" si="11"/>
        <v>{2,890000}</v>
      </c>
      <c r="I86" s="16">
        <v>3</v>
      </c>
      <c r="J86" s="16">
        <v>12511000</v>
      </c>
      <c r="K86" s="16" t="str">
        <f t="shared" si="12"/>
        <v>{3,12511000}</v>
      </c>
      <c r="L86" s="16">
        <v>4</v>
      </c>
      <c r="M86" s="16">
        <v>50</v>
      </c>
      <c r="N86" s="16" t="str">
        <f t="shared" si="13"/>
        <v>{4,50}</v>
      </c>
      <c r="O86" s="16">
        <v>5</v>
      </c>
      <c r="P86" s="16">
        <v>1250</v>
      </c>
      <c r="Q86" s="16" t="str">
        <f t="shared" si="14"/>
        <v>{5,1250}</v>
      </c>
      <c r="R86" s="16">
        <v>6</v>
      </c>
      <c r="S86" s="16">
        <v>0</v>
      </c>
      <c r="T86" s="16" t="str">
        <f t="shared" si="15"/>
        <v>{6,0}</v>
      </c>
      <c r="U86" s="16">
        <v>7</v>
      </c>
      <c r="V86" s="16">
        <v>0</v>
      </c>
      <c r="W86" s="16" t="str">
        <f t="shared" si="16"/>
        <v>{7,0}</v>
      </c>
      <c r="X86" s="16">
        <v>8</v>
      </c>
      <c r="Y86" s="16">
        <v>1000</v>
      </c>
      <c r="Z86" s="16" t="str">
        <f t="shared" si="17"/>
        <v>{8,1000}</v>
      </c>
      <c r="AA86">
        <v>9</v>
      </c>
      <c r="AB86" s="16">
        <v>1000</v>
      </c>
      <c r="AC86" s="16" t="str">
        <f t="shared" si="18"/>
        <v>{9,1000}</v>
      </c>
      <c r="AD86" t="str">
        <f t="shared" si="19"/>
        <v>{{1,866000}|{2,890000}|{3,12511000}|{4,50}|{5,1250}|{6,0}|{7,0}|{8,1000}|{9,1000}}</v>
      </c>
    </row>
    <row r="87" spans="1:30">
      <c r="A87">
        <v>4021</v>
      </c>
      <c r="B87" s="3" t="s">
        <v>210</v>
      </c>
      <c r="C87">
        <v>1</v>
      </c>
      <c r="D87" s="16">
        <v>1249000</v>
      </c>
      <c r="E87" s="16" t="str">
        <f t="shared" si="10"/>
        <v>{1,1249000}</v>
      </c>
      <c r="F87" s="16">
        <v>2</v>
      </c>
      <c r="G87" s="16">
        <v>553000</v>
      </c>
      <c r="H87" s="16" t="str">
        <f t="shared" si="11"/>
        <v>{2,553000}</v>
      </c>
      <c r="I87" s="16">
        <v>3</v>
      </c>
      <c r="J87" s="16">
        <v>8028000</v>
      </c>
      <c r="K87" s="16" t="str">
        <f t="shared" si="12"/>
        <v>{3,8028000}</v>
      </c>
      <c r="L87" s="16">
        <v>4</v>
      </c>
      <c r="M87" s="16">
        <v>50</v>
      </c>
      <c r="N87" s="16" t="str">
        <f t="shared" si="13"/>
        <v>{4,50}</v>
      </c>
      <c r="O87" s="16">
        <v>5</v>
      </c>
      <c r="P87" s="16">
        <v>1250</v>
      </c>
      <c r="Q87" s="16" t="str">
        <f t="shared" si="14"/>
        <v>{5,1250}</v>
      </c>
      <c r="R87" s="16">
        <v>6</v>
      </c>
      <c r="S87" s="16">
        <v>0</v>
      </c>
      <c r="T87" s="16" t="str">
        <f t="shared" si="15"/>
        <v>{6,0}</v>
      </c>
      <c r="U87" s="16">
        <v>7</v>
      </c>
      <c r="V87" s="16">
        <v>0</v>
      </c>
      <c r="W87" s="16" t="str">
        <f t="shared" si="16"/>
        <v>{7,0}</v>
      </c>
      <c r="X87" s="16">
        <v>8</v>
      </c>
      <c r="Y87" s="16">
        <v>1000</v>
      </c>
      <c r="Z87" s="16" t="str">
        <f t="shared" si="17"/>
        <v>{8,1000}</v>
      </c>
      <c r="AA87">
        <v>9</v>
      </c>
      <c r="AB87" s="16">
        <v>1000</v>
      </c>
      <c r="AC87" s="16" t="str">
        <f t="shared" si="18"/>
        <v>{9,1000}</v>
      </c>
      <c r="AD87" t="str">
        <f t="shared" si="19"/>
        <v>{{1,1249000}|{2,553000}|{3,8028000}|{4,50}|{5,1250}|{6,0}|{7,0}|{8,1000}|{9,1000}}</v>
      </c>
    </row>
    <row r="88" spans="1:30">
      <c r="A88">
        <v>4022</v>
      </c>
      <c r="B88" s="3" t="s">
        <v>213</v>
      </c>
      <c r="C88">
        <v>1</v>
      </c>
      <c r="D88" s="16">
        <v>1284000</v>
      </c>
      <c r="E88" s="16" t="str">
        <f t="shared" si="10"/>
        <v>{1,1284000}</v>
      </c>
      <c r="F88" s="16">
        <v>2</v>
      </c>
      <c r="G88" s="16">
        <v>651000</v>
      </c>
      <c r="H88" s="16" t="str">
        <f t="shared" si="11"/>
        <v>{2,651000}</v>
      </c>
      <c r="I88" s="16">
        <v>3</v>
      </c>
      <c r="J88" s="16">
        <v>9213000</v>
      </c>
      <c r="K88" s="16" t="str">
        <f t="shared" si="12"/>
        <v>{3,9213000}</v>
      </c>
      <c r="L88" s="16">
        <v>4</v>
      </c>
      <c r="M88" s="16">
        <v>50</v>
      </c>
      <c r="N88" s="16" t="str">
        <f t="shared" si="13"/>
        <v>{4,50}</v>
      </c>
      <c r="O88" s="16">
        <v>5</v>
      </c>
      <c r="P88" s="16">
        <v>1250</v>
      </c>
      <c r="Q88" s="16" t="str">
        <f t="shared" si="14"/>
        <v>{5,1250}</v>
      </c>
      <c r="R88" s="16">
        <v>6</v>
      </c>
      <c r="S88" s="16">
        <v>0</v>
      </c>
      <c r="T88" s="16" t="str">
        <f t="shared" si="15"/>
        <v>{6,0}</v>
      </c>
      <c r="U88" s="16">
        <v>7</v>
      </c>
      <c r="V88" s="16">
        <v>0</v>
      </c>
      <c r="W88" s="16" t="str">
        <f t="shared" si="16"/>
        <v>{7,0}</v>
      </c>
      <c r="X88" s="16">
        <v>8</v>
      </c>
      <c r="Y88" s="16">
        <v>1000</v>
      </c>
      <c r="Z88" s="16" t="str">
        <f t="shared" si="17"/>
        <v>{8,1000}</v>
      </c>
      <c r="AA88">
        <v>9</v>
      </c>
      <c r="AB88" s="16">
        <v>1000</v>
      </c>
      <c r="AC88" s="16" t="str">
        <f t="shared" si="18"/>
        <v>{9,1000}</v>
      </c>
      <c r="AD88" t="str">
        <f t="shared" si="19"/>
        <v>{{1,1284000}|{2,651000}|{3,9213000}|{4,50}|{5,1250}|{6,0}|{7,0}|{8,1000}|{9,1000}}</v>
      </c>
    </row>
    <row r="89" spans="1:30">
      <c r="A89">
        <v>4023</v>
      </c>
      <c r="B89" s="3" t="s">
        <v>215</v>
      </c>
      <c r="C89">
        <v>1</v>
      </c>
      <c r="D89" s="16">
        <v>840000</v>
      </c>
      <c r="E89" s="16" t="str">
        <f t="shared" si="10"/>
        <v>{1,840000}</v>
      </c>
      <c r="F89" s="16">
        <v>2</v>
      </c>
      <c r="G89" s="16">
        <v>890000</v>
      </c>
      <c r="H89" s="16" t="str">
        <f t="shared" si="11"/>
        <v>{2,890000}</v>
      </c>
      <c r="I89" s="16">
        <v>3</v>
      </c>
      <c r="J89" s="16">
        <v>12766000</v>
      </c>
      <c r="K89" s="16" t="str">
        <f t="shared" si="12"/>
        <v>{3,12766000}</v>
      </c>
      <c r="L89" s="16">
        <v>4</v>
      </c>
      <c r="M89" s="16">
        <v>50</v>
      </c>
      <c r="N89" s="16" t="str">
        <f t="shared" si="13"/>
        <v>{4,50}</v>
      </c>
      <c r="O89" s="16">
        <v>5</v>
      </c>
      <c r="P89" s="16">
        <v>1250</v>
      </c>
      <c r="Q89" s="16" t="str">
        <f t="shared" si="14"/>
        <v>{5,1250}</v>
      </c>
      <c r="R89" s="16">
        <v>6</v>
      </c>
      <c r="S89" s="16">
        <v>0</v>
      </c>
      <c r="T89" s="16" t="str">
        <f t="shared" si="15"/>
        <v>{6,0}</v>
      </c>
      <c r="U89" s="16">
        <v>7</v>
      </c>
      <c r="V89" s="16">
        <v>0</v>
      </c>
      <c r="W89" s="16" t="str">
        <f t="shared" si="16"/>
        <v>{7,0}</v>
      </c>
      <c r="X89" s="16">
        <v>8</v>
      </c>
      <c r="Y89" s="16">
        <v>1000</v>
      </c>
      <c r="Z89" s="16" t="str">
        <f t="shared" si="17"/>
        <v>{8,1000}</v>
      </c>
      <c r="AA89">
        <v>9</v>
      </c>
      <c r="AB89" s="16">
        <v>1000</v>
      </c>
      <c r="AC89" s="16" t="str">
        <f t="shared" si="18"/>
        <v>{9,1000}</v>
      </c>
      <c r="AD89" t="str">
        <f t="shared" si="19"/>
        <v>{{1,840000}|{2,890000}|{3,12766000}|{4,50}|{5,1250}|{6,0}|{7,0}|{8,1000}|{9,1000}}</v>
      </c>
    </row>
    <row r="90" spans="1:30">
      <c r="A90">
        <v>4024</v>
      </c>
      <c r="B90" s="3" t="s">
        <v>318</v>
      </c>
      <c r="C90">
        <v>1</v>
      </c>
      <c r="D90" s="16">
        <v>1284000</v>
      </c>
      <c r="E90" s="16" t="str">
        <f t="shared" si="10"/>
        <v>{1,1284000}</v>
      </c>
      <c r="F90" s="16">
        <v>2</v>
      </c>
      <c r="G90" s="16">
        <v>658000</v>
      </c>
      <c r="H90" s="16" t="str">
        <f t="shared" si="11"/>
        <v>{2,658000}</v>
      </c>
      <c r="I90" s="16">
        <v>3</v>
      </c>
      <c r="J90" s="16">
        <v>9213000</v>
      </c>
      <c r="K90" s="16" t="str">
        <f t="shared" si="12"/>
        <v>{3,9213000}</v>
      </c>
      <c r="L90" s="16">
        <v>4</v>
      </c>
      <c r="M90" s="16">
        <v>50</v>
      </c>
      <c r="N90" s="16" t="str">
        <f t="shared" si="13"/>
        <v>{4,50}</v>
      </c>
      <c r="O90" s="16">
        <v>5</v>
      </c>
      <c r="P90" s="16">
        <v>1250</v>
      </c>
      <c r="Q90" s="16" t="str">
        <f t="shared" si="14"/>
        <v>{5,1250}</v>
      </c>
      <c r="R90" s="16">
        <v>6</v>
      </c>
      <c r="S90" s="16">
        <v>0</v>
      </c>
      <c r="T90" s="16" t="str">
        <f t="shared" si="15"/>
        <v>{6,0}</v>
      </c>
      <c r="U90" s="16">
        <v>7</v>
      </c>
      <c r="V90" s="16">
        <v>0</v>
      </c>
      <c r="W90" s="16" t="str">
        <f t="shared" si="16"/>
        <v>{7,0}</v>
      </c>
      <c r="X90" s="16">
        <v>8</v>
      </c>
      <c r="Y90" s="16">
        <v>1000</v>
      </c>
      <c r="Z90" s="16" t="str">
        <f t="shared" si="17"/>
        <v>{8,1000}</v>
      </c>
      <c r="AA90">
        <v>9</v>
      </c>
      <c r="AB90" s="16">
        <v>1000</v>
      </c>
      <c r="AC90" s="16" t="str">
        <f t="shared" si="18"/>
        <v>{9,1000}</v>
      </c>
      <c r="AD90" t="str">
        <f t="shared" si="19"/>
        <v>{{1,1284000}|{2,658000}|{3,9213000}|{4,50}|{5,1250}|{6,0}|{7,0}|{8,1000}|{9,1000}}</v>
      </c>
    </row>
    <row r="91" spans="1:30">
      <c r="A91">
        <v>4025</v>
      </c>
      <c r="B91" s="3" t="s">
        <v>222</v>
      </c>
      <c r="C91">
        <v>1</v>
      </c>
      <c r="D91" s="16">
        <v>1272000</v>
      </c>
      <c r="E91" s="16" t="str">
        <f t="shared" si="10"/>
        <v>{1,1272000}</v>
      </c>
      <c r="F91" s="16">
        <v>2</v>
      </c>
      <c r="G91" s="16">
        <v>658000</v>
      </c>
      <c r="H91" s="16" t="str">
        <f t="shared" si="11"/>
        <v>{2,658000}</v>
      </c>
      <c r="I91" s="16">
        <v>3</v>
      </c>
      <c r="J91" s="16">
        <v>9213000</v>
      </c>
      <c r="K91" s="16" t="str">
        <f t="shared" si="12"/>
        <v>{3,9213000}</v>
      </c>
      <c r="L91" s="16">
        <v>4</v>
      </c>
      <c r="M91" s="16">
        <v>50</v>
      </c>
      <c r="N91" s="16" t="str">
        <f t="shared" si="13"/>
        <v>{4,50}</v>
      </c>
      <c r="O91" s="16">
        <v>5</v>
      </c>
      <c r="P91" s="16">
        <v>1250</v>
      </c>
      <c r="Q91" s="16" t="str">
        <f t="shared" si="14"/>
        <v>{5,1250}</v>
      </c>
      <c r="R91" s="16">
        <v>6</v>
      </c>
      <c r="S91" s="16">
        <v>0</v>
      </c>
      <c r="T91" s="16" t="str">
        <f t="shared" si="15"/>
        <v>{6,0}</v>
      </c>
      <c r="U91" s="16">
        <v>7</v>
      </c>
      <c r="V91" s="16">
        <v>0</v>
      </c>
      <c r="W91" s="16" t="str">
        <f t="shared" si="16"/>
        <v>{7,0}</v>
      </c>
      <c r="X91" s="16">
        <v>8</v>
      </c>
      <c r="Y91" s="16">
        <v>1000</v>
      </c>
      <c r="Z91" s="16" t="str">
        <f t="shared" si="17"/>
        <v>{8,1000}</v>
      </c>
      <c r="AA91">
        <v>9</v>
      </c>
      <c r="AB91" s="16">
        <v>1000</v>
      </c>
      <c r="AC91" s="16" t="str">
        <f t="shared" si="18"/>
        <v>{9,1000}</v>
      </c>
      <c r="AD91" t="str">
        <f t="shared" si="19"/>
        <v>{{1,1272000}|{2,658000}|{3,9213000}|{4,50}|{5,1250}|{6,0}|{7,0}|{8,1000}|{9,1000}}</v>
      </c>
    </row>
    <row r="92" ht="28.5" spans="1:30">
      <c r="A92">
        <v>4026</v>
      </c>
      <c r="B92" s="3" t="s">
        <v>226</v>
      </c>
      <c r="C92">
        <v>1</v>
      </c>
      <c r="D92" s="16">
        <v>1260000</v>
      </c>
      <c r="E92" s="16" t="str">
        <f t="shared" si="10"/>
        <v>{1,1260000}</v>
      </c>
      <c r="F92" s="16">
        <v>2</v>
      </c>
      <c r="G92" s="16">
        <v>671000</v>
      </c>
      <c r="H92" s="16" t="str">
        <f t="shared" si="11"/>
        <v>{2,671000}</v>
      </c>
      <c r="I92" s="16">
        <v>3</v>
      </c>
      <c r="J92" s="16">
        <v>9213000</v>
      </c>
      <c r="K92" s="16" t="str">
        <f t="shared" si="12"/>
        <v>{3,9213000}</v>
      </c>
      <c r="L92" s="16">
        <v>4</v>
      </c>
      <c r="M92" s="16">
        <v>50</v>
      </c>
      <c r="N92" s="16" t="str">
        <f t="shared" si="13"/>
        <v>{4,50}</v>
      </c>
      <c r="O92" s="16">
        <v>5</v>
      </c>
      <c r="P92" s="16">
        <v>1250</v>
      </c>
      <c r="Q92" s="16" t="str">
        <f t="shared" si="14"/>
        <v>{5,1250}</v>
      </c>
      <c r="R92" s="16">
        <v>6</v>
      </c>
      <c r="S92" s="16">
        <v>0</v>
      </c>
      <c r="T92" s="16" t="str">
        <f t="shared" si="15"/>
        <v>{6,0}</v>
      </c>
      <c r="U92" s="16">
        <v>7</v>
      </c>
      <c r="V92" s="16">
        <v>0</v>
      </c>
      <c r="W92" s="16" t="str">
        <f t="shared" si="16"/>
        <v>{7,0}</v>
      </c>
      <c r="X92" s="16">
        <v>8</v>
      </c>
      <c r="Y92" s="16">
        <v>1000</v>
      </c>
      <c r="Z92" s="16" t="str">
        <f t="shared" si="17"/>
        <v>{8,1000}</v>
      </c>
      <c r="AA92">
        <v>9</v>
      </c>
      <c r="AB92" s="16">
        <v>1000</v>
      </c>
      <c r="AC92" s="16" t="str">
        <f t="shared" si="18"/>
        <v>{9,1000}</v>
      </c>
      <c r="AD92" t="str">
        <f t="shared" si="19"/>
        <v>{{1,1260000}|{2,671000}|{3,9213000}|{4,50}|{5,1250}|{6,0}|{7,0}|{8,1000}|{9,1000}}</v>
      </c>
    </row>
    <row r="93" ht="28.5" spans="1:30">
      <c r="A93">
        <v>4027</v>
      </c>
      <c r="B93" s="3" t="s">
        <v>319</v>
      </c>
      <c r="C93">
        <v>1</v>
      </c>
      <c r="D93" s="16">
        <v>866000</v>
      </c>
      <c r="E93" s="16" t="str">
        <f t="shared" si="10"/>
        <v>{1,866000}</v>
      </c>
      <c r="F93" s="16">
        <v>2</v>
      </c>
      <c r="G93" s="16">
        <v>847000</v>
      </c>
      <c r="H93" s="16" t="str">
        <f t="shared" si="11"/>
        <v>{2,847000}</v>
      </c>
      <c r="I93" s="16">
        <v>3</v>
      </c>
      <c r="J93" s="16">
        <v>12894000</v>
      </c>
      <c r="K93" s="16" t="str">
        <f t="shared" si="12"/>
        <v>{3,12894000}</v>
      </c>
      <c r="L93" s="16">
        <v>4</v>
      </c>
      <c r="M93" s="16">
        <v>50</v>
      </c>
      <c r="N93" s="16" t="str">
        <f t="shared" si="13"/>
        <v>{4,50}</v>
      </c>
      <c r="O93" s="16">
        <v>5</v>
      </c>
      <c r="P93" s="16">
        <v>1250</v>
      </c>
      <c r="Q93" s="16" t="str">
        <f t="shared" si="14"/>
        <v>{5,1250}</v>
      </c>
      <c r="R93" s="16">
        <v>6</v>
      </c>
      <c r="S93" s="16">
        <v>0</v>
      </c>
      <c r="T93" s="16" t="str">
        <f t="shared" si="15"/>
        <v>{6,0}</v>
      </c>
      <c r="U93" s="16">
        <v>7</v>
      </c>
      <c r="V93" s="16">
        <v>0</v>
      </c>
      <c r="W93" s="16" t="str">
        <f t="shared" si="16"/>
        <v>{7,0}</v>
      </c>
      <c r="X93" s="16">
        <v>8</v>
      </c>
      <c r="Y93" s="16">
        <v>1000</v>
      </c>
      <c r="Z93" s="16" t="str">
        <f t="shared" si="17"/>
        <v>{8,1000}</v>
      </c>
      <c r="AA93">
        <v>9</v>
      </c>
      <c r="AB93" s="16">
        <v>1000</v>
      </c>
      <c r="AC93" s="16" t="str">
        <f t="shared" si="18"/>
        <v>{9,1000}</v>
      </c>
      <c r="AD93" t="str">
        <f t="shared" si="19"/>
        <v>{{1,866000}|{2,847000}|{3,12894000}|{4,50}|{5,1250}|{6,0}|{7,0}|{8,1000}|{9,1000}}</v>
      </c>
    </row>
    <row r="94" spans="1:30">
      <c r="A94">
        <v>4028</v>
      </c>
      <c r="B94" s="3" t="s">
        <v>231</v>
      </c>
      <c r="C94">
        <v>1</v>
      </c>
      <c r="D94" s="16">
        <v>883000</v>
      </c>
      <c r="E94" s="16" t="str">
        <f t="shared" si="10"/>
        <v>{1,883000}</v>
      </c>
      <c r="F94" s="16">
        <v>2</v>
      </c>
      <c r="G94" s="16">
        <v>860000</v>
      </c>
      <c r="H94" s="16" t="str">
        <f t="shared" si="11"/>
        <v>{2,860000}</v>
      </c>
      <c r="I94" s="16">
        <v>3</v>
      </c>
      <c r="J94" s="16">
        <v>12766000</v>
      </c>
      <c r="K94" s="16" t="str">
        <f t="shared" si="12"/>
        <v>{3,12766000}</v>
      </c>
      <c r="L94" s="16">
        <v>4</v>
      </c>
      <c r="M94" s="16">
        <v>50</v>
      </c>
      <c r="N94" s="16" t="str">
        <f t="shared" si="13"/>
        <v>{4,50}</v>
      </c>
      <c r="O94" s="16">
        <v>5</v>
      </c>
      <c r="P94" s="16">
        <v>1250</v>
      </c>
      <c r="Q94" s="16" t="str">
        <f t="shared" si="14"/>
        <v>{5,1250}</v>
      </c>
      <c r="R94" s="16">
        <v>6</v>
      </c>
      <c r="S94" s="16">
        <v>0</v>
      </c>
      <c r="T94" s="16" t="str">
        <f t="shared" si="15"/>
        <v>{6,0}</v>
      </c>
      <c r="U94" s="16">
        <v>7</v>
      </c>
      <c r="V94" s="16">
        <v>0</v>
      </c>
      <c r="W94" s="16" t="str">
        <f t="shared" si="16"/>
        <v>{7,0}</v>
      </c>
      <c r="X94" s="16">
        <v>8</v>
      </c>
      <c r="Y94" s="16">
        <v>1000</v>
      </c>
      <c r="Z94" s="16" t="str">
        <f t="shared" si="17"/>
        <v>{8,1000}</v>
      </c>
      <c r="AA94">
        <v>9</v>
      </c>
      <c r="AB94" s="16">
        <v>1000</v>
      </c>
      <c r="AC94" s="16" t="str">
        <f t="shared" si="18"/>
        <v>{9,1000}</v>
      </c>
      <c r="AD94" t="str">
        <f t="shared" si="19"/>
        <v>{{1,883000}|{2,860000}|{3,12766000}|{4,50}|{5,1250}|{6,0}|{7,0}|{8,1000}|{9,1000}}</v>
      </c>
    </row>
    <row r="95" spans="1:30">
      <c r="A95">
        <v>4029</v>
      </c>
      <c r="B95" s="3" t="s">
        <v>320</v>
      </c>
      <c r="C95">
        <v>1</v>
      </c>
      <c r="D95" s="16">
        <v>883000</v>
      </c>
      <c r="E95" s="16" t="str">
        <f t="shared" si="10"/>
        <v>{1,883000}</v>
      </c>
      <c r="F95" s="16">
        <v>2</v>
      </c>
      <c r="G95" s="16">
        <v>855000</v>
      </c>
      <c r="H95" s="16" t="str">
        <f t="shared" si="11"/>
        <v>{2,855000}</v>
      </c>
      <c r="I95" s="16">
        <v>3</v>
      </c>
      <c r="J95" s="16">
        <v>12830000</v>
      </c>
      <c r="K95" s="16" t="str">
        <f t="shared" si="12"/>
        <v>{3,12830000}</v>
      </c>
      <c r="L95" s="16">
        <v>4</v>
      </c>
      <c r="M95" s="16">
        <v>50</v>
      </c>
      <c r="N95" s="16" t="str">
        <f t="shared" si="13"/>
        <v>{4,50}</v>
      </c>
      <c r="O95" s="16">
        <v>5</v>
      </c>
      <c r="P95" s="16">
        <v>1250</v>
      </c>
      <c r="Q95" s="16" t="str">
        <f t="shared" si="14"/>
        <v>{5,1250}</v>
      </c>
      <c r="R95" s="16">
        <v>6</v>
      </c>
      <c r="S95" s="16">
        <v>0</v>
      </c>
      <c r="T95" s="16" t="str">
        <f t="shared" si="15"/>
        <v>{6,0}</v>
      </c>
      <c r="U95" s="16">
        <v>7</v>
      </c>
      <c r="V95" s="16">
        <v>0</v>
      </c>
      <c r="W95" s="16" t="str">
        <f t="shared" si="16"/>
        <v>{7,0}</v>
      </c>
      <c r="X95" s="16">
        <v>8</v>
      </c>
      <c r="Y95" s="16">
        <v>1000</v>
      </c>
      <c r="Z95" s="16" t="str">
        <f t="shared" si="17"/>
        <v>{8,1000}</v>
      </c>
      <c r="AA95">
        <v>9</v>
      </c>
      <c r="AB95" s="16">
        <v>1000</v>
      </c>
      <c r="AC95" s="16" t="str">
        <f t="shared" si="18"/>
        <v>{9,1000}</v>
      </c>
      <c r="AD95" t="str">
        <f t="shared" si="19"/>
        <v>{{1,883000}|{2,855000}|{3,12830000}|{4,50}|{5,1250}|{6,0}|{7,0}|{8,1000}|{9,1000}}</v>
      </c>
    </row>
    <row r="96" spans="1:30">
      <c r="A96">
        <v>4030</v>
      </c>
      <c r="B96" s="3" t="s">
        <v>234</v>
      </c>
      <c r="C96">
        <v>1</v>
      </c>
      <c r="D96" s="16">
        <v>1273000</v>
      </c>
      <c r="E96" s="16" t="str">
        <f t="shared" si="10"/>
        <v>{1,1273000}</v>
      </c>
      <c r="F96" s="16">
        <v>2</v>
      </c>
      <c r="G96" s="16">
        <v>547000</v>
      </c>
      <c r="H96" s="16" t="str">
        <f t="shared" si="11"/>
        <v>{2,547000}</v>
      </c>
      <c r="I96" s="16">
        <v>3</v>
      </c>
      <c r="J96" s="16">
        <v>8028000</v>
      </c>
      <c r="K96" s="16" t="str">
        <f t="shared" si="12"/>
        <v>{3,8028000}</v>
      </c>
      <c r="L96" s="16">
        <v>4</v>
      </c>
      <c r="M96" s="16">
        <v>50</v>
      </c>
      <c r="N96" s="16" t="str">
        <f t="shared" si="13"/>
        <v>{4,50}</v>
      </c>
      <c r="O96" s="16">
        <v>5</v>
      </c>
      <c r="P96" s="16">
        <v>1250</v>
      </c>
      <c r="Q96" s="16" t="str">
        <f t="shared" si="14"/>
        <v>{5,1250}</v>
      </c>
      <c r="R96" s="16">
        <v>6</v>
      </c>
      <c r="S96" s="16">
        <v>0</v>
      </c>
      <c r="T96" s="16" t="str">
        <f t="shared" si="15"/>
        <v>{6,0}</v>
      </c>
      <c r="U96" s="16">
        <v>7</v>
      </c>
      <c r="V96" s="16">
        <v>0</v>
      </c>
      <c r="W96" s="16" t="str">
        <f t="shared" si="16"/>
        <v>{7,0}</v>
      </c>
      <c r="X96" s="16">
        <v>8</v>
      </c>
      <c r="Y96" s="16">
        <v>1000</v>
      </c>
      <c r="Z96" s="16" t="str">
        <f t="shared" si="17"/>
        <v>{8,1000}</v>
      </c>
      <c r="AA96">
        <v>9</v>
      </c>
      <c r="AB96" s="16">
        <v>1000</v>
      </c>
      <c r="AC96" s="16" t="str">
        <f t="shared" si="18"/>
        <v>{9,1000}</v>
      </c>
      <c r="AD96" t="str">
        <f t="shared" si="19"/>
        <v>{{1,1273000}|{2,547000}|{3,8028000}|{4,50}|{5,1250}|{6,0}|{7,0}|{8,1000}|{9,1000}}</v>
      </c>
    </row>
    <row r="97" spans="1:30">
      <c r="A97">
        <v>4031</v>
      </c>
      <c r="B97" s="3" t="s">
        <v>236</v>
      </c>
      <c r="C97">
        <v>1</v>
      </c>
      <c r="D97" s="16">
        <v>1039000</v>
      </c>
      <c r="E97" s="16" t="str">
        <f t="shared" si="10"/>
        <v>{1,1039000}</v>
      </c>
      <c r="F97" s="16">
        <v>2</v>
      </c>
      <c r="G97" s="16">
        <v>592000</v>
      </c>
      <c r="H97" s="16" t="str">
        <f t="shared" si="11"/>
        <v>{2,592000}</v>
      </c>
      <c r="I97" s="16">
        <v>3</v>
      </c>
      <c r="J97" s="16">
        <v>9410000</v>
      </c>
      <c r="K97" s="16" t="str">
        <f t="shared" si="12"/>
        <v>{3,9410000}</v>
      </c>
      <c r="L97" s="16">
        <v>4</v>
      </c>
      <c r="M97" s="16">
        <v>50</v>
      </c>
      <c r="N97" s="16" t="str">
        <f t="shared" si="13"/>
        <v>{4,50}</v>
      </c>
      <c r="O97" s="16">
        <v>5</v>
      </c>
      <c r="P97" s="16">
        <v>1250</v>
      </c>
      <c r="Q97" s="16" t="str">
        <f t="shared" si="14"/>
        <v>{5,1250}</v>
      </c>
      <c r="R97" s="16">
        <v>6</v>
      </c>
      <c r="S97" s="16">
        <v>0</v>
      </c>
      <c r="T97" s="16" t="str">
        <f t="shared" si="15"/>
        <v>{6,0}</v>
      </c>
      <c r="U97" s="16">
        <v>7</v>
      </c>
      <c r="V97" s="16">
        <v>0</v>
      </c>
      <c r="W97" s="16" t="str">
        <f t="shared" si="16"/>
        <v>{7,0}</v>
      </c>
      <c r="X97" s="16">
        <v>8</v>
      </c>
      <c r="Y97" s="16">
        <v>1000</v>
      </c>
      <c r="Z97" s="16" t="str">
        <f t="shared" si="17"/>
        <v>{8,1000}</v>
      </c>
      <c r="AA97">
        <v>9</v>
      </c>
      <c r="AB97" s="16">
        <v>1000</v>
      </c>
      <c r="AC97" s="16" t="str">
        <f t="shared" si="18"/>
        <v>{9,1000}</v>
      </c>
      <c r="AD97" t="str">
        <f t="shared" si="19"/>
        <v>{{1,1039000}|{2,592000}|{3,9410000}|{4,50}|{5,1250}|{6,0}|{7,0}|{8,1000}|{9,1000}}</v>
      </c>
    </row>
    <row r="98" spans="1:30">
      <c r="A98">
        <v>4032</v>
      </c>
      <c r="B98" s="3" t="s">
        <v>239</v>
      </c>
      <c r="C98">
        <v>1</v>
      </c>
      <c r="D98" s="16">
        <v>1039000</v>
      </c>
      <c r="E98" s="16" t="str">
        <f t="shared" si="10"/>
        <v>{1,1039000}</v>
      </c>
      <c r="F98" s="16">
        <v>2</v>
      </c>
      <c r="G98" s="16">
        <v>592000</v>
      </c>
      <c r="H98" s="16" t="str">
        <f t="shared" si="11"/>
        <v>{2,592000}</v>
      </c>
      <c r="I98" s="16">
        <v>3</v>
      </c>
      <c r="J98" s="16">
        <v>9504000</v>
      </c>
      <c r="K98" s="16" t="str">
        <f t="shared" si="12"/>
        <v>{3,9504000}</v>
      </c>
      <c r="L98" s="16">
        <v>4</v>
      </c>
      <c r="M98" s="16">
        <v>50</v>
      </c>
      <c r="N98" s="16" t="str">
        <f t="shared" si="13"/>
        <v>{4,50}</v>
      </c>
      <c r="O98" s="16">
        <v>5</v>
      </c>
      <c r="P98" s="16">
        <v>1250</v>
      </c>
      <c r="Q98" s="16" t="str">
        <f t="shared" si="14"/>
        <v>{5,1250}</v>
      </c>
      <c r="R98" s="16">
        <v>6</v>
      </c>
      <c r="S98" s="16">
        <v>0</v>
      </c>
      <c r="T98" s="16" t="str">
        <f t="shared" si="15"/>
        <v>{6,0}</v>
      </c>
      <c r="U98" s="16">
        <v>7</v>
      </c>
      <c r="V98" s="16">
        <v>0</v>
      </c>
      <c r="W98" s="16" t="str">
        <f t="shared" si="16"/>
        <v>{7,0}</v>
      </c>
      <c r="X98" s="16">
        <v>8</v>
      </c>
      <c r="Y98" s="16">
        <v>1000</v>
      </c>
      <c r="Z98" s="16" t="str">
        <f t="shared" si="17"/>
        <v>{8,1000}</v>
      </c>
      <c r="AA98">
        <v>9</v>
      </c>
      <c r="AB98" s="16">
        <v>1000</v>
      </c>
      <c r="AC98" s="16" t="str">
        <f t="shared" si="18"/>
        <v>{9,1000}</v>
      </c>
      <c r="AD98" t="str">
        <f t="shared" si="19"/>
        <v>{{1,1039000}|{2,592000}|{3,9504000}|{4,50}|{5,1250}|{6,0}|{7,0}|{8,1000}|{9,1000}}</v>
      </c>
    </row>
    <row r="99" spans="1:30">
      <c r="A99">
        <v>4033</v>
      </c>
      <c r="B99" s="3" t="s">
        <v>242</v>
      </c>
      <c r="C99">
        <v>1</v>
      </c>
      <c r="D99" s="16">
        <v>1249000</v>
      </c>
      <c r="E99" s="16" t="str">
        <f t="shared" si="10"/>
        <v>{1,1249000}</v>
      </c>
      <c r="F99" s="16">
        <v>2</v>
      </c>
      <c r="G99" s="16">
        <v>553000</v>
      </c>
      <c r="H99" s="16" t="str">
        <f t="shared" si="11"/>
        <v>{2,553000}</v>
      </c>
      <c r="I99" s="16">
        <v>3</v>
      </c>
      <c r="J99" s="16">
        <v>8028000</v>
      </c>
      <c r="K99" s="16" t="str">
        <f t="shared" si="12"/>
        <v>{3,8028000}</v>
      </c>
      <c r="L99" s="16">
        <v>4</v>
      </c>
      <c r="M99" s="16">
        <v>50</v>
      </c>
      <c r="N99" s="16" t="str">
        <f t="shared" si="13"/>
        <v>{4,50}</v>
      </c>
      <c r="O99" s="16">
        <v>5</v>
      </c>
      <c r="P99" s="16">
        <v>1250</v>
      </c>
      <c r="Q99" s="16" t="str">
        <f t="shared" si="14"/>
        <v>{5,1250}</v>
      </c>
      <c r="R99" s="16">
        <v>6</v>
      </c>
      <c r="S99" s="16">
        <v>0</v>
      </c>
      <c r="T99" s="16" t="str">
        <f t="shared" si="15"/>
        <v>{6,0}</v>
      </c>
      <c r="U99" s="16">
        <v>7</v>
      </c>
      <c r="V99" s="16">
        <v>0</v>
      </c>
      <c r="W99" s="16" t="str">
        <f t="shared" si="16"/>
        <v>{7,0}</v>
      </c>
      <c r="X99" s="16">
        <v>8</v>
      </c>
      <c r="Y99" s="16">
        <v>1000</v>
      </c>
      <c r="Z99" s="16" t="str">
        <f t="shared" si="17"/>
        <v>{8,1000}</v>
      </c>
      <c r="AA99">
        <v>9</v>
      </c>
      <c r="AB99" s="16">
        <v>1000</v>
      </c>
      <c r="AC99" s="16" t="str">
        <f t="shared" si="18"/>
        <v>{9,1000}</v>
      </c>
      <c r="AD99" t="str">
        <f t="shared" si="19"/>
        <v>{{1,1249000}|{2,553000}|{3,8028000}|{4,50}|{5,1250}|{6,0}|{7,0}|{8,1000}|{9,1000}}</v>
      </c>
    </row>
    <row r="100" spans="1:30">
      <c r="A100">
        <v>4034</v>
      </c>
      <c r="B100" s="3" t="s">
        <v>244</v>
      </c>
      <c r="C100">
        <v>1</v>
      </c>
      <c r="D100" s="16">
        <v>1035000</v>
      </c>
      <c r="E100" s="16" t="str">
        <f t="shared" si="10"/>
        <v>{1,1035000}</v>
      </c>
      <c r="F100" s="16">
        <v>2</v>
      </c>
      <c r="G100" s="16">
        <v>665000</v>
      </c>
      <c r="H100" s="16" t="str">
        <f t="shared" si="11"/>
        <v>{2,665000}</v>
      </c>
      <c r="I100" s="16">
        <v>3</v>
      </c>
      <c r="J100" s="16">
        <v>9213000</v>
      </c>
      <c r="K100" s="16" t="str">
        <f t="shared" si="12"/>
        <v>{3,9213000}</v>
      </c>
      <c r="L100" s="16">
        <v>4</v>
      </c>
      <c r="M100" s="16">
        <v>50</v>
      </c>
      <c r="N100" s="16" t="str">
        <f t="shared" si="13"/>
        <v>{4,50}</v>
      </c>
      <c r="O100" s="16">
        <v>5</v>
      </c>
      <c r="P100" s="16">
        <v>1250</v>
      </c>
      <c r="Q100" s="16" t="str">
        <f t="shared" si="14"/>
        <v>{5,1250}</v>
      </c>
      <c r="R100" s="16">
        <v>6</v>
      </c>
      <c r="S100" s="16">
        <v>0</v>
      </c>
      <c r="T100" s="16" t="str">
        <f t="shared" si="15"/>
        <v>{6,0}</v>
      </c>
      <c r="U100" s="16">
        <v>7</v>
      </c>
      <c r="V100" s="16">
        <v>0</v>
      </c>
      <c r="W100" s="16" t="str">
        <f t="shared" si="16"/>
        <v>{7,0}</v>
      </c>
      <c r="X100" s="16">
        <v>8</v>
      </c>
      <c r="Y100" s="16">
        <v>1000</v>
      </c>
      <c r="Z100" s="16" t="str">
        <f t="shared" si="17"/>
        <v>{8,1000}</v>
      </c>
      <c r="AA100">
        <v>9</v>
      </c>
      <c r="AB100" s="16">
        <v>1000</v>
      </c>
      <c r="AC100" s="16" t="str">
        <f t="shared" si="18"/>
        <v>{9,1000}</v>
      </c>
      <c r="AD100" t="str">
        <f t="shared" si="19"/>
        <v>{{1,1035000}|{2,665000}|{3,9213000}|{4,50}|{5,1250}|{6,0}|{7,0}|{8,1000}|{9,1000}}</v>
      </c>
    </row>
    <row r="101" spans="1:30">
      <c r="A101">
        <v>4035</v>
      </c>
      <c r="B101" s="3" t="s">
        <v>246</v>
      </c>
      <c r="C101">
        <v>1</v>
      </c>
      <c r="D101" s="16">
        <v>1559000</v>
      </c>
      <c r="E101" s="16" t="str">
        <f t="shared" si="10"/>
        <v>{1,1559000}</v>
      </c>
      <c r="F101" s="16">
        <v>2</v>
      </c>
      <c r="G101" s="16">
        <v>592000</v>
      </c>
      <c r="H101" s="16" t="str">
        <f t="shared" si="11"/>
        <v>{2,592000}</v>
      </c>
      <c r="I101" s="16">
        <v>3</v>
      </c>
      <c r="J101" s="16">
        <v>8160000</v>
      </c>
      <c r="K101" s="16" t="str">
        <f t="shared" si="12"/>
        <v>{3,8160000}</v>
      </c>
      <c r="L101" s="16">
        <v>4</v>
      </c>
      <c r="M101" s="16">
        <v>50</v>
      </c>
      <c r="N101" s="16" t="str">
        <f t="shared" si="13"/>
        <v>{4,50}</v>
      </c>
      <c r="O101" s="16">
        <v>5</v>
      </c>
      <c r="P101" s="16">
        <v>1250</v>
      </c>
      <c r="Q101" s="16" t="str">
        <f t="shared" si="14"/>
        <v>{5,1250}</v>
      </c>
      <c r="R101" s="16">
        <v>6</v>
      </c>
      <c r="S101" s="16">
        <v>0</v>
      </c>
      <c r="T101" s="16" t="str">
        <f t="shared" si="15"/>
        <v>{6,0}</v>
      </c>
      <c r="U101" s="16">
        <v>7</v>
      </c>
      <c r="V101" s="16">
        <v>0</v>
      </c>
      <c r="W101" s="16" t="str">
        <f t="shared" si="16"/>
        <v>{7,0}</v>
      </c>
      <c r="X101" s="16">
        <v>8</v>
      </c>
      <c r="Y101" s="16">
        <v>1000</v>
      </c>
      <c r="Z101" s="16" t="str">
        <f t="shared" si="17"/>
        <v>{8,1000}</v>
      </c>
      <c r="AA101">
        <v>9</v>
      </c>
      <c r="AB101" s="16">
        <v>1000</v>
      </c>
      <c r="AC101" s="16" t="str">
        <f t="shared" si="18"/>
        <v>{9,1000}</v>
      </c>
      <c r="AD101" t="str">
        <f t="shared" si="19"/>
        <v>{{1,1559000}|{2,592000}|{3,8160000}|{4,50}|{5,1250}|{6,0}|{7,0}|{8,1000}|{9,1000}}</v>
      </c>
    </row>
    <row r="102" spans="1:30">
      <c r="A102">
        <v>4036</v>
      </c>
      <c r="B102" s="3" t="s">
        <v>249</v>
      </c>
      <c r="C102">
        <v>1</v>
      </c>
      <c r="D102" s="16">
        <v>849000</v>
      </c>
      <c r="E102" s="16" t="str">
        <f t="shared" si="10"/>
        <v>{1,849000}</v>
      </c>
      <c r="F102" s="16">
        <v>2</v>
      </c>
      <c r="G102" s="16">
        <v>898000</v>
      </c>
      <c r="H102" s="16" t="str">
        <f t="shared" si="11"/>
        <v>{2,898000}</v>
      </c>
      <c r="I102" s="16">
        <v>3</v>
      </c>
      <c r="J102" s="16">
        <v>12511000</v>
      </c>
      <c r="K102" s="16" t="str">
        <f t="shared" si="12"/>
        <v>{3,12511000}</v>
      </c>
      <c r="L102" s="16">
        <v>4</v>
      </c>
      <c r="M102" s="16">
        <v>50</v>
      </c>
      <c r="N102" s="16" t="str">
        <f t="shared" si="13"/>
        <v>{4,50}</v>
      </c>
      <c r="O102" s="16">
        <v>5</v>
      </c>
      <c r="P102" s="16">
        <v>1250</v>
      </c>
      <c r="Q102" s="16" t="str">
        <f t="shared" si="14"/>
        <v>{5,1250}</v>
      </c>
      <c r="R102" s="16">
        <v>6</v>
      </c>
      <c r="S102" s="16">
        <v>0</v>
      </c>
      <c r="T102" s="16" t="str">
        <f t="shared" si="15"/>
        <v>{6,0}</v>
      </c>
      <c r="U102" s="16">
        <v>7</v>
      </c>
      <c r="V102" s="16">
        <v>0</v>
      </c>
      <c r="W102" s="16" t="str">
        <f t="shared" si="16"/>
        <v>{7,0}</v>
      </c>
      <c r="X102" s="16">
        <v>8</v>
      </c>
      <c r="Y102" s="16">
        <v>1000</v>
      </c>
      <c r="Z102" s="16" t="str">
        <f t="shared" si="17"/>
        <v>{8,1000}</v>
      </c>
      <c r="AA102">
        <v>9</v>
      </c>
      <c r="AB102" s="16">
        <v>1000</v>
      </c>
      <c r="AC102" s="16" t="str">
        <f t="shared" si="18"/>
        <v>{9,1000}</v>
      </c>
      <c r="AD102" t="str">
        <f t="shared" si="19"/>
        <v>{{1,849000}|{2,898000}|{3,12511000}|{4,50}|{5,1250}|{6,0}|{7,0}|{8,1000}|{9,1000}}</v>
      </c>
    </row>
    <row r="103" spans="1:30">
      <c r="A103">
        <v>4037</v>
      </c>
      <c r="B103" s="3" t="s">
        <v>251</v>
      </c>
      <c r="C103">
        <v>1</v>
      </c>
      <c r="D103" s="16">
        <v>1039000</v>
      </c>
      <c r="E103" s="16" t="str">
        <f t="shared" si="10"/>
        <v>{1,1039000}</v>
      </c>
      <c r="F103" s="16">
        <v>2</v>
      </c>
      <c r="G103" s="16">
        <v>592000</v>
      </c>
      <c r="H103" s="16" t="str">
        <f t="shared" si="11"/>
        <v>{2,592000}</v>
      </c>
      <c r="I103" s="16">
        <v>3</v>
      </c>
      <c r="J103" s="16">
        <v>9410000</v>
      </c>
      <c r="K103" s="16" t="str">
        <f t="shared" si="12"/>
        <v>{3,9410000}</v>
      </c>
      <c r="L103" s="16">
        <v>4</v>
      </c>
      <c r="M103" s="16">
        <v>50</v>
      </c>
      <c r="N103" s="16" t="str">
        <f t="shared" si="13"/>
        <v>{4,50}</v>
      </c>
      <c r="O103" s="16">
        <v>5</v>
      </c>
      <c r="P103" s="16">
        <v>1250</v>
      </c>
      <c r="Q103" s="16" t="str">
        <f t="shared" si="14"/>
        <v>{5,1250}</v>
      </c>
      <c r="R103" s="16">
        <v>6</v>
      </c>
      <c r="S103" s="16">
        <v>0</v>
      </c>
      <c r="T103" s="16" t="str">
        <f t="shared" si="15"/>
        <v>{6,0}</v>
      </c>
      <c r="U103" s="16">
        <v>7</v>
      </c>
      <c r="V103" s="16">
        <v>0</v>
      </c>
      <c r="W103" s="16" t="str">
        <f t="shared" si="16"/>
        <v>{7,0}</v>
      </c>
      <c r="X103" s="16">
        <v>8</v>
      </c>
      <c r="Y103" s="16">
        <v>1000</v>
      </c>
      <c r="Z103" s="16" t="str">
        <f t="shared" si="17"/>
        <v>{8,1000}</v>
      </c>
      <c r="AA103">
        <v>9</v>
      </c>
      <c r="AB103" s="16">
        <v>1000</v>
      </c>
      <c r="AC103" s="16" t="str">
        <f t="shared" si="18"/>
        <v>{9,1000}</v>
      </c>
      <c r="AD103" t="str">
        <f t="shared" si="19"/>
        <v>{{1,1039000}|{2,592000}|{3,9410000}|{4,50}|{5,1250}|{6,0}|{7,0}|{8,1000}|{9,1000}}</v>
      </c>
    </row>
    <row r="104" spans="1:30">
      <c r="A104">
        <v>4038</v>
      </c>
      <c r="B104" s="3" t="s">
        <v>253</v>
      </c>
      <c r="C104">
        <v>1</v>
      </c>
      <c r="D104" s="16">
        <v>1272000</v>
      </c>
      <c r="E104" s="16" t="str">
        <f t="shared" si="10"/>
        <v>{1,1272000}</v>
      </c>
      <c r="F104" s="16">
        <v>2</v>
      </c>
      <c r="G104" s="16">
        <v>665000</v>
      </c>
      <c r="H104" s="16" t="str">
        <f t="shared" si="11"/>
        <v>{2,665000}</v>
      </c>
      <c r="I104" s="16">
        <v>3</v>
      </c>
      <c r="J104" s="16">
        <v>9213000</v>
      </c>
      <c r="K104" s="16" t="str">
        <f t="shared" si="12"/>
        <v>{3,9213000}</v>
      </c>
      <c r="L104" s="16">
        <v>4</v>
      </c>
      <c r="M104" s="16">
        <v>50</v>
      </c>
      <c r="N104" s="16" t="str">
        <f t="shared" si="13"/>
        <v>{4,50}</v>
      </c>
      <c r="O104" s="16">
        <v>5</v>
      </c>
      <c r="P104" s="16">
        <v>1250</v>
      </c>
      <c r="Q104" s="16" t="str">
        <f t="shared" si="14"/>
        <v>{5,1250}</v>
      </c>
      <c r="R104" s="16">
        <v>6</v>
      </c>
      <c r="S104" s="16">
        <v>0</v>
      </c>
      <c r="T104" s="16" t="str">
        <f t="shared" si="15"/>
        <v>{6,0}</v>
      </c>
      <c r="U104" s="16">
        <v>7</v>
      </c>
      <c r="V104" s="16">
        <v>0</v>
      </c>
      <c r="W104" s="16" t="str">
        <f t="shared" si="16"/>
        <v>{7,0}</v>
      </c>
      <c r="X104" s="16">
        <v>8</v>
      </c>
      <c r="Y104" s="16">
        <v>1000</v>
      </c>
      <c r="Z104" s="16" t="str">
        <f t="shared" si="17"/>
        <v>{8,1000}</v>
      </c>
      <c r="AA104">
        <v>9</v>
      </c>
      <c r="AB104" s="16">
        <v>1000</v>
      </c>
      <c r="AC104" s="16" t="str">
        <f t="shared" si="18"/>
        <v>{9,1000}</v>
      </c>
      <c r="AD104" t="str">
        <f t="shared" si="19"/>
        <v>{{1,1272000}|{2,665000}|{3,9213000}|{4,50}|{5,1250}|{6,0}|{7,0}|{8,1000}|{9,1000}}</v>
      </c>
    </row>
    <row r="105" spans="1:30">
      <c r="A105">
        <v>4039</v>
      </c>
      <c r="B105" s="3" t="s">
        <v>256</v>
      </c>
      <c r="C105">
        <v>1</v>
      </c>
      <c r="D105" s="16">
        <v>1039000</v>
      </c>
      <c r="E105" s="16" t="str">
        <f t="shared" si="10"/>
        <v>{1,1039000}</v>
      </c>
      <c r="F105" s="16">
        <v>2</v>
      </c>
      <c r="G105" s="16">
        <v>580000</v>
      </c>
      <c r="H105" s="16" t="str">
        <f t="shared" si="11"/>
        <v>{2,580000}</v>
      </c>
      <c r="I105" s="16">
        <v>3</v>
      </c>
      <c r="J105" s="16">
        <v>9598000</v>
      </c>
      <c r="K105" s="16" t="str">
        <f t="shared" si="12"/>
        <v>{3,9598000}</v>
      </c>
      <c r="L105" s="16">
        <v>4</v>
      </c>
      <c r="M105" s="16">
        <v>50</v>
      </c>
      <c r="N105" s="16" t="str">
        <f t="shared" si="13"/>
        <v>{4,50}</v>
      </c>
      <c r="O105" s="16">
        <v>5</v>
      </c>
      <c r="P105" s="16">
        <v>1250</v>
      </c>
      <c r="Q105" s="16" t="str">
        <f t="shared" si="14"/>
        <v>{5,1250}</v>
      </c>
      <c r="R105" s="16">
        <v>6</v>
      </c>
      <c r="S105" s="16">
        <v>0</v>
      </c>
      <c r="T105" s="16" t="str">
        <f t="shared" si="15"/>
        <v>{6,0}</v>
      </c>
      <c r="U105" s="16">
        <v>7</v>
      </c>
      <c r="V105" s="16">
        <v>0</v>
      </c>
      <c r="W105" s="16" t="str">
        <f t="shared" si="16"/>
        <v>{7,0}</v>
      </c>
      <c r="X105" s="16">
        <v>8</v>
      </c>
      <c r="Y105" s="16">
        <v>1000</v>
      </c>
      <c r="Z105" s="16" t="str">
        <f t="shared" si="17"/>
        <v>{8,1000}</v>
      </c>
      <c r="AA105">
        <v>9</v>
      </c>
      <c r="AB105" s="16">
        <v>1000</v>
      </c>
      <c r="AC105" s="16" t="str">
        <f t="shared" si="18"/>
        <v>{9,1000}</v>
      </c>
      <c r="AD105" t="str">
        <f t="shared" si="19"/>
        <v>{{1,1039000}|{2,580000}|{3,9598000}|{4,50}|{5,1250}|{6,0}|{7,0}|{8,1000}|{9,1000}}</v>
      </c>
    </row>
    <row r="106" spans="1:30">
      <c r="A106">
        <v>4040</v>
      </c>
      <c r="B106" s="3" t="s">
        <v>257</v>
      </c>
      <c r="C106">
        <v>1</v>
      </c>
      <c r="D106" s="16">
        <v>805000</v>
      </c>
      <c r="E106" s="16" t="str">
        <f t="shared" si="10"/>
        <v>{1,805000}</v>
      </c>
      <c r="F106" s="16">
        <v>2</v>
      </c>
      <c r="G106" s="16">
        <v>924000</v>
      </c>
      <c r="H106" s="16" t="str">
        <f t="shared" si="11"/>
        <v>{2,924000}</v>
      </c>
      <c r="I106" s="16">
        <v>3</v>
      </c>
      <c r="J106" s="16">
        <v>12766000</v>
      </c>
      <c r="K106" s="16" t="str">
        <f t="shared" si="12"/>
        <v>{3,12766000}</v>
      </c>
      <c r="L106" s="16">
        <v>4</v>
      </c>
      <c r="M106" s="16">
        <v>50</v>
      </c>
      <c r="N106" s="16" t="str">
        <f t="shared" si="13"/>
        <v>{4,50}</v>
      </c>
      <c r="O106" s="16">
        <v>5</v>
      </c>
      <c r="P106" s="16">
        <v>1250</v>
      </c>
      <c r="Q106" s="16" t="str">
        <f t="shared" si="14"/>
        <v>{5,1250}</v>
      </c>
      <c r="R106" s="16">
        <v>6</v>
      </c>
      <c r="S106" s="16">
        <v>0</v>
      </c>
      <c r="T106" s="16" t="str">
        <f t="shared" si="15"/>
        <v>{6,0}</v>
      </c>
      <c r="U106" s="16">
        <v>7</v>
      </c>
      <c r="V106" s="16">
        <v>0</v>
      </c>
      <c r="W106" s="16" t="str">
        <f t="shared" si="16"/>
        <v>{7,0}</v>
      </c>
      <c r="X106" s="16">
        <v>8</v>
      </c>
      <c r="Y106" s="16">
        <v>1000</v>
      </c>
      <c r="Z106" s="16" t="str">
        <f t="shared" si="17"/>
        <v>{8,1000}</v>
      </c>
      <c r="AA106">
        <v>9</v>
      </c>
      <c r="AB106" s="16">
        <v>1000</v>
      </c>
      <c r="AC106" s="16" t="str">
        <f t="shared" si="18"/>
        <v>{9,1000}</v>
      </c>
      <c r="AD106" t="str">
        <f t="shared" si="19"/>
        <v>{{1,805000}|{2,924000}|{3,12766000}|{4,50}|{5,1250}|{6,0}|{7,0}|{8,1000}|{9,1000}}</v>
      </c>
    </row>
  </sheetData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3"/>
  <dimension ref="A2:C304"/>
  <sheetViews>
    <sheetView workbookViewId="0">
      <selection activeCell="F91" sqref="F91"/>
    </sheetView>
  </sheetViews>
  <sheetFormatPr defaultColWidth="9" defaultRowHeight="14.25" outlineLevelCol="2"/>
  <cols>
    <col min="2" max="2" width="16" customWidth="1"/>
    <col min="3" max="3" width="53.375" customWidth="1"/>
  </cols>
  <sheetData>
    <row r="2" hidden="1" spans="1:3">
      <c r="A2">
        <v>1000</v>
      </c>
      <c r="B2" t="s">
        <v>32</v>
      </c>
      <c r="C2" s="1" t="s">
        <v>33</v>
      </c>
    </row>
    <row r="3" hidden="1" spans="1:3">
      <c r="A3">
        <v>1001</v>
      </c>
      <c r="B3" t="s">
        <v>36</v>
      </c>
      <c r="C3" s="2" t="s">
        <v>37</v>
      </c>
    </row>
    <row r="4" hidden="1" spans="1:3">
      <c r="A4">
        <v>1002</v>
      </c>
      <c r="B4" t="s">
        <v>40</v>
      </c>
      <c r="C4" s="2" t="s">
        <v>41</v>
      </c>
    </row>
    <row r="5" hidden="1" spans="1:3">
      <c r="A5">
        <v>1003</v>
      </c>
      <c r="B5" t="s">
        <v>43</v>
      </c>
      <c r="C5" s="2" t="s">
        <v>44</v>
      </c>
    </row>
    <row r="6" hidden="1" spans="1:3">
      <c r="A6">
        <v>1004</v>
      </c>
      <c r="B6" t="s">
        <v>299</v>
      </c>
      <c r="C6" s="1" t="s">
        <v>321</v>
      </c>
    </row>
    <row r="7" hidden="1" spans="1:3">
      <c r="A7">
        <v>1005</v>
      </c>
      <c r="B7" t="s">
        <v>46</v>
      </c>
      <c r="C7" s="1" t="s">
        <v>47</v>
      </c>
    </row>
    <row r="8" hidden="1" spans="1:3">
      <c r="A8">
        <v>1006</v>
      </c>
      <c r="B8" t="s">
        <v>50</v>
      </c>
      <c r="C8" s="1" t="s">
        <v>51</v>
      </c>
    </row>
    <row r="9" hidden="1" spans="1:3">
      <c r="A9">
        <v>1007</v>
      </c>
      <c r="B9" t="s">
        <v>53</v>
      </c>
      <c r="C9" s="1" t="s">
        <v>54</v>
      </c>
    </row>
    <row r="10" hidden="1" spans="1:3">
      <c r="A10">
        <v>1008</v>
      </c>
      <c r="B10" t="s">
        <v>300</v>
      </c>
      <c r="C10" s="1" t="s">
        <v>322</v>
      </c>
    </row>
    <row r="11" hidden="1" spans="1:3">
      <c r="A11">
        <v>1009</v>
      </c>
      <c r="B11" t="s">
        <v>301</v>
      </c>
      <c r="C11" s="1" t="s">
        <v>323</v>
      </c>
    </row>
    <row r="12" hidden="1" spans="1:3">
      <c r="A12">
        <v>1010</v>
      </c>
      <c r="B12" t="s">
        <v>57</v>
      </c>
      <c r="C12" s="2" t="s">
        <v>324</v>
      </c>
    </row>
    <row r="13" hidden="1" spans="1:3">
      <c r="A13">
        <v>1011</v>
      </c>
      <c r="B13" t="s">
        <v>60</v>
      </c>
      <c r="C13" s="1" t="s">
        <v>325</v>
      </c>
    </row>
    <row r="14" hidden="1" spans="1:3">
      <c r="A14">
        <v>1012</v>
      </c>
      <c r="B14" t="s">
        <v>64</v>
      </c>
      <c r="C14" s="2" t="s">
        <v>326</v>
      </c>
    </row>
    <row r="15" hidden="1" spans="1:3">
      <c r="A15">
        <v>1013</v>
      </c>
      <c r="B15" t="s">
        <v>68</v>
      </c>
      <c r="C15" s="1" t="s">
        <v>327</v>
      </c>
    </row>
    <row r="16" hidden="1" spans="1:3">
      <c r="A16">
        <v>1014</v>
      </c>
      <c r="B16" t="s">
        <v>72</v>
      </c>
      <c r="C16" s="1" t="s">
        <v>328</v>
      </c>
    </row>
    <row r="17" hidden="1" spans="1:3">
      <c r="A17">
        <v>1015</v>
      </c>
      <c r="B17" t="s">
        <v>75</v>
      </c>
      <c r="C17" s="1" t="s">
        <v>329</v>
      </c>
    </row>
    <row r="18" hidden="1" spans="1:3">
      <c r="A18">
        <v>1016</v>
      </c>
      <c r="B18" t="s">
        <v>302</v>
      </c>
      <c r="C18" s="1" t="s">
        <v>326</v>
      </c>
    </row>
    <row r="19" hidden="1" spans="1:3">
      <c r="A19">
        <v>1017</v>
      </c>
      <c r="B19" t="s">
        <v>77</v>
      </c>
      <c r="C19" s="1" t="s">
        <v>78</v>
      </c>
    </row>
    <row r="20" hidden="1" spans="1:3">
      <c r="A20">
        <v>2000</v>
      </c>
      <c r="B20" s="3" t="s">
        <v>81</v>
      </c>
      <c r="C20" s="1" t="s">
        <v>330</v>
      </c>
    </row>
    <row r="21" spans="1:3">
      <c r="A21" s="4">
        <v>2001</v>
      </c>
      <c r="B21" s="5" t="s">
        <v>303</v>
      </c>
      <c r="C21" s="6"/>
    </row>
    <row r="22" spans="1:3">
      <c r="A22" s="4">
        <v>2002</v>
      </c>
      <c r="B22" s="5" t="s">
        <v>304</v>
      </c>
      <c r="C22" s="6"/>
    </row>
    <row r="23" hidden="1" spans="1:3">
      <c r="A23">
        <v>2003</v>
      </c>
      <c r="B23" s="3" t="s">
        <v>85</v>
      </c>
      <c r="C23" s="1" t="s">
        <v>331</v>
      </c>
    </row>
    <row r="24" hidden="1" spans="1:3">
      <c r="A24">
        <v>2004</v>
      </c>
      <c r="B24" s="3" t="s">
        <v>89</v>
      </c>
      <c r="C24" s="1" t="s">
        <v>332</v>
      </c>
    </row>
    <row r="25" hidden="1" spans="1:3">
      <c r="A25">
        <v>2005</v>
      </c>
      <c r="B25" s="3" t="s">
        <v>92</v>
      </c>
      <c r="C25" s="1" t="s">
        <v>333</v>
      </c>
    </row>
    <row r="26" hidden="1" spans="1:3">
      <c r="A26">
        <v>2006</v>
      </c>
      <c r="B26" s="3" t="s">
        <v>96</v>
      </c>
      <c r="C26" s="1" t="s">
        <v>97</v>
      </c>
    </row>
    <row r="27" hidden="1" spans="1:3">
      <c r="A27">
        <v>2007</v>
      </c>
      <c r="B27" s="3" t="s">
        <v>99</v>
      </c>
      <c r="C27" s="1" t="s">
        <v>100</v>
      </c>
    </row>
    <row r="28" hidden="1" spans="1:3">
      <c r="A28">
        <v>2008</v>
      </c>
      <c r="B28" s="3" t="s">
        <v>102</v>
      </c>
      <c r="C28" s="1" t="s">
        <v>103</v>
      </c>
    </row>
    <row r="29" hidden="1" spans="1:3">
      <c r="A29">
        <v>2009</v>
      </c>
      <c r="B29" s="3" t="s">
        <v>105</v>
      </c>
      <c r="C29" s="1" t="s">
        <v>106</v>
      </c>
    </row>
    <row r="30" hidden="1" spans="1:3">
      <c r="A30" s="7">
        <v>2010</v>
      </c>
      <c r="B30" s="8" t="s">
        <v>108</v>
      </c>
      <c r="C30" s="1" t="s">
        <v>334</v>
      </c>
    </row>
    <row r="31" hidden="1" spans="1:3">
      <c r="A31">
        <v>2011</v>
      </c>
      <c r="B31" s="3" t="s">
        <v>112</v>
      </c>
      <c r="C31" s="1" t="s">
        <v>65</v>
      </c>
    </row>
    <row r="32" hidden="1" spans="1:3">
      <c r="A32">
        <v>2012</v>
      </c>
      <c r="B32" s="3" t="s">
        <v>115</v>
      </c>
      <c r="C32" s="1" t="s">
        <v>335</v>
      </c>
    </row>
    <row r="33" hidden="1" spans="1:3">
      <c r="A33">
        <v>2013</v>
      </c>
      <c r="B33" s="3" t="s">
        <v>117</v>
      </c>
      <c r="C33" s="1" t="s">
        <v>118</v>
      </c>
    </row>
    <row r="34" spans="1:3">
      <c r="A34" s="4">
        <v>2014</v>
      </c>
      <c r="B34" s="5" t="s">
        <v>228</v>
      </c>
      <c r="C34" s="6"/>
    </row>
    <row r="35" hidden="1" spans="1:3">
      <c r="A35">
        <v>2015</v>
      </c>
      <c r="B35" s="3" t="s">
        <v>120</v>
      </c>
      <c r="C35" s="1" t="s">
        <v>121</v>
      </c>
    </row>
    <row r="36" hidden="1" spans="1:3">
      <c r="A36">
        <v>2016</v>
      </c>
      <c r="B36" s="3" t="s">
        <v>122</v>
      </c>
      <c r="C36" s="1" t="s">
        <v>65</v>
      </c>
    </row>
    <row r="37" hidden="1" spans="1:3">
      <c r="A37">
        <v>2017</v>
      </c>
      <c r="B37" s="3" t="s">
        <v>125</v>
      </c>
      <c r="C37" s="1" t="s">
        <v>336</v>
      </c>
    </row>
    <row r="38" spans="1:3">
      <c r="A38" s="4">
        <v>2018</v>
      </c>
      <c r="B38" s="5" t="s">
        <v>305</v>
      </c>
      <c r="C38" s="6"/>
    </row>
    <row r="39" spans="1:3">
      <c r="A39" s="4">
        <v>2019</v>
      </c>
      <c r="B39" s="5" t="s">
        <v>306</v>
      </c>
      <c r="C39" s="6"/>
    </row>
    <row r="40" hidden="1" spans="1:3">
      <c r="A40">
        <v>3000</v>
      </c>
      <c r="B40" s="9" t="s">
        <v>128</v>
      </c>
      <c r="C40" s="1" t="s">
        <v>337</v>
      </c>
    </row>
    <row r="41" hidden="1" spans="1:3">
      <c r="A41">
        <v>3001</v>
      </c>
      <c r="B41" s="9" t="s">
        <v>131</v>
      </c>
      <c r="C41" s="1" t="s">
        <v>338</v>
      </c>
    </row>
    <row r="42" spans="1:3">
      <c r="A42" s="4">
        <v>3002</v>
      </c>
      <c r="B42" s="10" t="s">
        <v>307</v>
      </c>
      <c r="C42" s="6"/>
    </row>
    <row r="43" hidden="1" spans="1:3">
      <c r="A43">
        <v>3003</v>
      </c>
      <c r="B43" s="9" t="s">
        <v>134</v>
      </c>
      <c r="C43" s="1" t="s">
        <v>339</v>
      </c>
    </row>
    <row r="44" hidden="1" spans="1:3">
      <c r="A44">
        <v>3004</v>
      </c>
      <c r="B44" s="9" t="s">
        <v>137</v>
      </c>
      <c r="C44" s="1" t="s">
        <v>340</v>
      </c>
    </row>
    <row r="45" hidden="1" spans="1:3">
      <c r="A45">
        <v>3005</v>
      </c>
      <c r="B45" s="9" t="s">
        <v>140</v>
      </c>
      <c r="C45" s="11" t="s">
        <v>341</v>
      </c>
    </row>
    <row r="46" hidden="1" spans="1:3">
      <c r="A46">
        <v>3006</v>
      </c>
      <c r="B46" s="9" t="s">
        <v>142</v>
      </c>
      <c r="C46" s="1" t="s">
        <v>342</v>
      </c>
    </row>
    <row r="47" spans="1:3">
      <c r="A47" s="4">
        <v>3007</v>
      </c>
      <c r="B47" s="10" t="s">
        <v>308</v>
      </c>
      <c r="C47" s="6"/>
    </row>
    <row r="48" hidden="1" spans="1:3">
      <c r="A48">
        <v>3008</v>
      </c>
      <c r="B48" s="9" t="s">
        <v>145</v>
      </c>
      <c r="C48" s="1" t="s">
        <v>343</v>
      </c>
    </row>
    <row r="49" hidden="1" spans="1:3">
      <c r="A49">
        <v>3009</v>
      </c>
      <c r="B49" s="9" t="s">
        <v>147</v>
      </c>
      <c r="C49" s="1" t="s">
        <v>344</v>
      </c>
    </row>
    <row r="50" hidden="1" spans="1:3">
      <c r="A50">
        <v>3010</v>
      </c>
      <c r="B50" s="9" t="s">
        <v>150</v>
      </c>
      <c r="C50" s="1" t="s">
        <v>345</v>
      </c>
    </row>
    <row r="51" spans="1:3">
      <c r="A51" s="4">
        <v>3011</v>
      </c>
      <c r="B51" s="10" t="s">
        <v>309</v>
      </c>
      <c r="C51" s="6"/>
    </row>
    <row r="52" hidden="1" spans="1:3">
      <c r="A52">
        <v>3012</v>
      </c>
      <c r="B52" s="9" t="s">
        <v>154</v>
      </c>
      <c r="C52" s="1" t="s">
        <v>155</v>
      </c>
    </row>
    <row r="53" hidden="1" spans="1:3">
      <c r="A53">
        <v>3013</v>
      </c>
      <c r="B53" s="12" t="s">
        <v>157</v>
      </c>
      <c r="C53" s="1" t="s">
        <v>61</v>
      </c>
    </row>
    <row r="54" spans="1:3">
      <c r="A54" s="4">
        <v>3014</v>
      </c>
      <c r="B54" s="10" t="s">
        <v>310</v>
      </c>
      <c r="C54" s="6"/>
    </row>
    <row r="55" hidden="1" spans="1:3">
      <c r="A55">
        <v>3015</v>
      </c>
      <c r="B55" s="9" t="s">
        <v>159</v>
      </c>
      <c r="C55" s="1" t="s">
        <v>346</v>
      </c>
    </row>
    <row r="56" hidden="1" spans="1:3">
      <c r="A56">
        <v>3016</v>
      </c>
      <c r="B56" s="9" t="s">
        <v>161</v>
      </c>
      <c r="C56" s="1" t="s">
        <v>347</v>
      </c>
    </row>
    <row r="57" hidden="1" spans="1:3">
      <c r="A57">
        <v>3017</v>
      </c>
      <c r="B57" s="9" t="s">
        <v>163</v>
      </c>
      <c r="C57" s="1" t="s">
        <v>347</v>
      </c>
    </row>
    <row r="58" hidden="1" spans="1:3">
      <c r="A58">
        <v>3018</v>
      </c>
      <c r="B58" s="9" t="s">
        <v>166</v>
      </c>
      <c r="C58" s="1" t="s">
        <v>348</v>
      </c>
    </row>
    <row r="59" hidden="1" spans="1:3">
      <c r="A59">
        <v>3019</v>
      </c>
      <c r="B59" s="9" t="s">
        <v>169</v>
      </c>
      <c r="C59" s="1" t="s">
        <v>349</v>
      </c>
    </row>
    <row r="60" hidden="1" spans="1:3">
      <c r="A60">
        <v>3020</v>
      </c>
      <c r="B60" s="9" t="s">
        <v>311</v>
      </c>
      <c r="C60" s="1" t="s">
        <v>350</v>
      </c>
    </row>
    <row r="61" hidden="1" spans="1:3">
      <c r="A61">
        <v>3021</v>
      </c>
      <c r="B61" s="9" t="s">
        <v>171</v>
      </c>
      <c r="C61" s="1" t="s">
        <v>351</v>
      </c>
    </row>
    <row r="62" hidden="1" spans="1:3">
      <c r="A62">
        <v>4000</v>
      </c>
      <c r="B62" s="3" t="s">
        <v>173</v>
      </c>
      <c r="C62" s="1" t="s">
        <v>269</v>
      </c>
    </row>
    <row r="63" hidden="1" spans="1:3">
      <c r="A63">
        <v>4001</v>
      </c>
      <c r="B63" s="3" t="s">
        <v>176</v>
      </c>
      <c r="C63" s="1" t="s">
        <v>270</v>
      </c>
    </row>
    <row r="64" hidden="1" spans="1:3">
      <c r="A64">
        <v>4002</v>
      </c>
      <c r="B64" s="3" t="s">
        <v>179</v>
      </c>
      <c r="C64" s="1" t="s">
        <v>180</v>
      </c>
    </row>
    <row r="65" spans="1:3">
      <c r="A65" s="4">
        <v>4003</v>
      </c>
      <c r="B65" s="5" t="s">
        <v>312</v>
      </c>
      <c r="C65" s="6"/>
    </row>
    <row r="66" hidden="1" spans="1:3">
      <c r="A66">
        <v>4004</v>
      </c>
      <c r="B66" s="3" t="s">
        <v>181</v>
      </c>
      <c r="C66" s="1" t="s">
        <v>182</v>
      </c>
    </row>
    <row r="67" hidden="1" spans="1:3">
      <c r="A67">
        <v>4005</v>
      </c>
      <c r="B67" s="3" t="s">
        <v>183</v>
      </c>
      <c r="C67" s="1" t="s">
        <v>184</v>
      </c>
    </row>
    <row r="68" hidden="1" spans="1:3">
      <c r="A68">
        <v>4006</v>
      </c>
      <c r="B68" s="3" t="s">
        <v>186</v>
      </c>
      <c r="C68" s="1" t="s">
        <v>187</v>
      </c>
    </row>
    <row r="69" hidden="1" spans="1:3">
      <c r="A69">
        <v>4007</v>
      </c>
      <c r="B69" s="3" t="s">
        <v>189</v>
      </c>
      <c r="C69" s="1" t="s">
        <v>190</v>
      </c>
    </row>
    <row r="70" spans="1:3">
      <c r="A70" s="4">
        <v>4008</v>
      </c>
      <c r="B70" s="5" t="s">
        <v>313</v>
      </c>
      <c r="C70" s="6"/>
    </row>
    <row r="71" hidden="1" spans="1:3">
      <c r="A71">
        <v>4009</v>
      </c>
      <c r="B71" s="3" t="s">
        <v>191</v>
      </c>
      <c r="C71" s="1" t="s">
        <v>192</v>
      </c>
    </row>
    <row r="72" spans="1:3">
      <c r="A72" s="4">
        <v>4010</v>
      </c>
      <c r="B72" s="5" t="s">
        <v>314</v>
      </c>
      <c r="C72" s="6"/>
    </row>
    <row r="73" spans="1:3">
      <c r="A73" s="4">
        <v>4011</v>
      </c>
      <c r="B73" s="5" t="s">
        <v>315</v>
      </c>
      <c r="C73" s="6"/>
    </row>
    <row r="74" hidden="1" spans="1:3">
      <c r="A74">
        <v>4012</v>
      </c>
      <c r="B74" s="3" t="s">
        <v>194</v>
      </c>
      <c r="C74" s="1" t="s">
        <v>195</v>
      </c>
    </row>
    <row r="75" spans="1:3">
      <c r="A75" s="4">
        <v>4013</v>
      </c>
      <c r="B75" s="5" t="s">
        <v>316</v>
      </c>
      <c r="C75" s="6"/>
    </row>
    <row r="76" hidden="1" spans="1:3">
      <c r="A76">
        <v>4014</v>
      </c>
      <c r="B76" s="3" t="s">
        <v>196</v>
      </c>
      <c r="C76" s="1" t="s">
        <v>197</v>
      </c>
    </row>
    <row r="77" hidden="1" spans="1:3">
      <c r="A77">
        <v>4015</v>
      </c>
      <c r="B77" s="3" t="s">
        <v>198</v>
      </c>
      <c r="C77" s="1" t="s">
        <v>199</v>
      </c>
    </row>
    <row r="78" hidden="1" spans="1:3">
      <c r="A78">
        <v>4016</v>
      </c>
      <c r="B78" s="3" t="s">
        <v>200</v>
      </c>
      <c r="C78" s="1" t="s">
        <v>201</v>
      </c>
    </row>
    <row r="79" hidden="1" spans="1:3">
      <c r="A79">
        <v>4017</v>
      </c>
      <c r="B79" s="3" t="s">
        <v>202</v>
      </c>
      <c r="C79" s="1" t="s">
        <v>162</v>
      </c>
    </row>
    <row r="80" hidden="1" spans="1:3">
      <c r="A80">
        <v>4018</v>
      </c>
      <c r="B80" s="3" t="s">
        <v>204</v>
      </c>
      <c r="C80" s="1" t="s">
        <v>205</v>
      </c>
    </row>
    <row r="81" hidden="1" spans="1:3">
      <c r="A81">
        <v>4019</v>
      </c>
      <c r="B81" s="3" t="s">
        <v>207</v>
      </c>
      <c r="C81" s="1" t="s">
        <v>208</v>
      </c>
    </row>
    <row r="82" spans="1:3">
      <c r="A82" s="4">
        <v>4020</v>
      </c>
      <c r="B82" s="5" t="s">
        <v>317</v>
      </c>
      <c r="C82" s="6"/>
    </row>
    <row r="83" hidden="1" spans="1:3">
      <c r="A83">
        <v>4021</v>
      </c>
      <c r="B83" s="3" t="s">
        <v>210</v>
      </c>
      <c r="C83" s="1" t="s">
        <v>211</v>
      </c>
    </row>
    <row r="84" hidden="1" spans="1:3">
      <c r="A84">
        <v>4022</v>
      </c>
      <c r="B84" s="3" t="s">
        <v>213</v>
      </c>
      <c r="C84" s="1" t="s">
        <v>214</v>
      </c>
    </row>
    <row r="85" hidden="1" spans="1:3">
      <c r="A85">
        <v>4023</v>
      </c>
      <c r="B85" s="3" t="s">
        <v>215</v>
      </c>
      <c r="C85" s="1" t="s">
        <v>216</v>
      </c>
    </row>
    <row r="86" hidden="1" spans="1:3">
      <c r="A86">
        <v>4024</v>
      </c>
      <c r="B86" s="3" t="s">
        <v>318</v>
      </c>
      <c r="C86" s="1" t="s">
        <v>220</v>
      </c>
    </row>
    <row r="87" hidden="1" spans="1:3">
      <c r="A87">
        <v>4025</v>
      </c>
      <c r="B87" s="3" t="s">
        <v>222</v>
      </c>
      <c r="C87" s="1" t="s">
        <v>223</v>
      </c>
    </row>
    <row r="88" hidden="1" spans="1:3">
      <c r="A88">
        <v>4026</v>
      </c>
      <c r="B88" s="3" t="s">
        <v>226</v>
      </c>
      <c r="C88" s="1" t="s">
        <v>208</v>
      </c>
    </row>
    <row r="89" hidden="1" spans="1:3">
      <c r="A89">
        <v>4027</v>
      </c>
      <c r="B89" s="3" t="s">
        <v>319</v>
      </c>
      <c r="C89" s="1" t="s">
        <v>229</v>
      </c>
    </row>
    <row r="90" hidden="1" spans="1:3">
      <c r="A90">
        <v>4028</v>
      </c>
      <c r="B90" s="3" t="s">
        <v>231</v>
      </c>
      <c r="C90" s="1" t="s">
        <v>232</v>
      </c>
    </row>
    <row r="91" spans="1:3">
      <c r="A91" s="4">
        <v>4029</v>
      </c>
      <c r="B91" s="5" t="s">
        <v>320</v>
      </c>
      <c r="C91" s="6"/>
    </row>
    <row r="92" hidden="1" spans="1:3">
      <c r="A92">
        <v>4030</v>
      </c>
      <c r="B92" s="3" t="s">
        <v>234</v>
      </c>
      <c r="C92" s="1" t="s">
        <v>235</v>
      </c>
    </row>
    <row r="93" hidden="1" spans="1:3">
      <c r="A93">
        <v>4031</v>
      </c>
      <c r="B93" s="3" t="s">
        <v>236</v>
      </c>
      <c r="C93" s="1" t="s">
        <v>237</v>
      </c>
    </row>
    <row r="94" hidden="1" spans="1:3">
      <c r="A94">
        <v>4032</v>
      </c>
      <c r="B94" s="3" t="s">
        <v>239</v>
      </c>
      <c r="C94" s="1" t="s">
        <v>240</v>
      </c>
    </row>
    <row r="95" hidden="1" spans="1:3">
      <c r="A95">
        <v>4033</v>
      </c>
      <c r="B95" s="3" t="s">
        <v>242</v>
      </c>
      <c r="C95" s="1" t="s">
        <v>243</v>
      </c>
    </row>
    <row r="96" hidden="1" spans="1:3">
      <c r="A96">
        <v>4034</v>
      </c>
      <c r="B96" s="3" t="s">
        <v>244</v>
      </c>
      <c r="C96" s="1" t="s">
        <v>245</v>
      </c>
    </row>
    <row r="97" hidden="1" spans="1:3">
      <c r="A97">
        <v>4035</v>
      </c>
      <c r="B97" s="3" t="s">
        <v>246</v>
      </c>
      <c r="C97" s="1" t="s">
        <v>247</v>
      </c>
    </row>
    <row r="98" hidden="1" spans="1:3">
      <c r="A98">
        <v>4036</v>
      </c>
      <c r="B98" s="3" t="s">
        <v>249</v>
      </c>
      <c r="C98" s="1" t="s">
        <v>250</v>
      </c>
    </row>
    <row r="99" hidden="1" spans="1:3">
      <c r="A99">
        <v>4037</v>
      </c>
      <c r="B99" s="3" t="s">
        <v>251</v>
      </c>
      <c r="C99" s="1" t="s">
        <v>252</v>
      </c>
    </row>
    <row r="100" hidden="1" spans="1:3">
      <c r="A100">
        <v>4038</v>
      </c>
      <c r="B100" s="3" t="s">
        <v>253</v>
      </c>
      <c r="C100" s="1" t="s">
        <v>254</v>
      </c>
    </row>
    <row r="101" hidden="1" spans="1:3">
      <c r="A101">
        <v>4039</v>
      </c>
      <c r="B101" s="3" t="s">
        <v>256</v>
      </c>
      <c r="C101" s="1" t="s">
        <v>252</v>
      </c>
    </row>
    <row r="102" hidden="1" spans="1:3">
      <c r="A102">
        <v>4040</v>
      </c>
      <c r="B102" s="3" t="s">
        <v>257</v>
      </c>
      <c r="C102" s="1" t="s">
        <v>258</v>
      </c>
    </row>
    <row r="103" hidden="1" spans="1:3">
      <c r="A103" s="13">
        <v>101000</v>
      </c>
      <c r="B103" t="s">
        <v>32</v>
      </c>
      <c r="C103" s="1" t="s">
        <v>33</v>
      </c>
    </row>
    <row r="104" hidden="1" spans="1:3">
      <c r="A104" s="13">
        <v>101001</v>
      </c>
      <c r="B104" t="s">
        <v>36</v>
      </c>
      <c r="C104" s="2" t="s">
        <v>37</v>
      </c>
    </row>
    <row r="105" hidden="1" spans="1:3">
      <c r="A105" s="13">
        <v>101002</v>
      </c>
      <c r="B105" t="s">
        <v>40</v>
      </c>
      <c r="C105" s="2" t="s">
        <v>41</v>
      </c>
    </row>
    <row r="106" hidden="1" spans="1:3">
      <c r="A106" s="13">
        <v>101003</v>
      </c>
      <c r="B106" t="s">
        <v>43</v>
      </c>
      <c r="C106" s="2" t="s">
        <v>44</v>
      </c>
    </row>
    <row r="107" hidden="1" spans="1:3">
      <c r="A107" s="13">
        <v>101004</v>
      </c>
      <c r="B107" t="s">
        <v>299</v>
      </c>
      <c r="C107" s="1" t="s">
        <v>321</v>
      </c>
    </row>
    <row r="108" hidden="1" spans="1:3">
      <c r="A108" s="13">
        <v>101005</v>
      </c>
      <c r="B108" t="s">
        <v>46</v>
      </c>
      <c r="C108" s="1" t="s">
        <v>47</v>
      </c>
    </row>
    <row r="109" hidden="1" spans="1:3">
      <c r="A109" s="13">
        <v>101006</v>
      </c>
      <c r="B109" t="s">
        <v>50</v>
      </c>
      <c r="C109" s="1" t="s">
        <v>51</v>
      </c>
    </row>
    <row r="110" hidden="1" spans="1:3">
      <c r="A110" s="13">
        <v>101007</v>
      </c>
      <c r="B110" t="s">
        <v>53</v>
      </c>
      <c r="C110" s="1" t="s">
        <v>54</v>
      </c>
    </row>
    <row r="111" hidden="1" spans="1:3">
      <c r="A111" s="13">
        <v>101008</v>
      </c>
      <c r="B111" t="s">
        <v>300</v>
      </c>
      <c r="C111" s="1" t="s">
        <v>322</v>
      </c>
    </row>
    <row r="112" hidden="1" spans="1:3">
      <c r="A112" s="13">
        <v>101009</v>
      </c>
      <c r="B112" t="s">
        <v>301</v>
      </c>
      <c r="C112" s="1" t="s">
        <v>323</v>
      </c>
    </row>
    <row r="113" hidden="1" spans="1:3">
      <c r="A113" s="13">
        <v>101010</v>
      </c>
      <c r="B113" t="s">
        <v>57</v>
      </c>
      <c r="C113" s="2" t="s">
        <v>324</v>
      </c>
    </row>
    <row r="114" hidden="1" spans="1:3">
      <c r="A114" s="13">
        <v>101011</v>
      </c>
      <c r="B114" t="s">
        <v>60</v>
      </c>
      <c r="C114" s="1" t="s">
        <v>325</v>
      </c>
    </row>
    <row r="115" hidden="1" spans="1:3">
      <c r="A115" s="13">
        <v>101012</v>
      </c>
      <c r="B115" t="s">
        <v>64</v>
      </c>
      <c r="C115" s="2" t="s">
        <v>326</v>
      </c>
    </row>
    <row r="116" hidden="1" spans="1:3">
      <c r="A116" s="13">
        <v>101013</v>
      </c>
      <c r="B116" t="s">
        <v>68</v>
      </c>
      <c r="C116" s="1" t="s">
        <v>327</v>
      </c>
    </row>
    <row r="117" hidden="1" spans="1:3">
      <c r="A117" s="13">
        <v>101014</v>
      </c>
      <c r="B117" t="s">
        <v>72</v>
      </c>
      <c r="C117" s="1" t="s">
        <v>328</v>
      </c>
    </row>
    <row r="118" hidden="1" spans="1:3">
      <c r="A118" s="13">
        <v>101015</v>
      </c>
      <c r="B118" t="s">
        <v>75</v>
      </c>
      <c r="C118" s="1" t="s">
        <v>329</v>
      </c>
    </row>
    <row r="119" hidden="1" spans="1:3">
      <c r="A119" s="13">
        <v>101016</v>
      </c>
      <c r="B119" t="s">
        <v>302</v>
      </c>
      <c r="C119" s="1" t="s">
        <v>326</v>
      </c>
    </row>
    <row r="120" hidden="1" spans="1:3">
      <c r="A120" s="13">
        <v>101017</v>
      </c>
      <c r="B120" t="s">
        <v>77</v>
      </c>
      <c r="C120" s="1" t="s">
        <v>78</v>
      </c>
    </row>
    <row r="121" hidden="1" spans="1:3">
      <c r="A121" s="13">
        <v>102000</v>
      </c>
      <c r="B121" s="3" t="s">
        <v>81</v>
      </c>
      <c r="C121" s="1" t="s">
        <v>330</v>
      </c>
    </row>
    <row r="122" spans="1:3">
      <c r="A122" s="14">
        <v>102001</v>
      </c>
      <c r="B122" s="5" t="s">
        <v>303</v>
      </c>
      <c r="C122" s="6"/>
    </row>
    <row r="123" spans="1:3">
      <c r="A123" s="14">
        <v>102002</v>
      </c>
      <c r="B123" s="5" t="s">
        <v>304</v>
      </c>
      <c r="C123" s="6"/>
    </row>
    <row r="124" hidden="1" spans="1:3">
      <c r="A124" s="13">
        <v>102003</v>
      </c>
      <c r="B124" s="3" t="s">
        <v>85</v>
      </c>
      <c r="C124" s="1" t="s">
        <v>331</v>
      </c>
    </row>
    <row r="125" hidden="1" spans="1:3">
      <c r="A125" s="13">
        <v>102004</v>
      </c>
      <c r="B125" s="3" t="s">
        <v>89</v>
      </c>
      <c r="C125" s="1" t="s">
        <v>332</v>
      </c>
    </row>
    <row r="126" hidden="1" spans="1:3">
      <c r="A126" s="13">
        <v>102005</v>
      </c>
      <c r="B126" s="3" t="s">
        <v>92</v>
      </c>
      <c r="C126" s="1" t="s">
        <v>333</v>
      </c>
    </row>
    <row r="127" hidden="1" spans="1:3">
      <c r="A127" s="13">
        <v>102006</v>
      </c>
      <c r="B127" s="3" t="s">
        <v>96</v>
      </c>
      <c r="C127" s="1" t="s">
        <v>97</v>
      </c>
    </row>
    <row r="128" hidden="1" spans="1:3">
      <c r="A128" s="13">
        <v>102007</v>
      </c>
      <c r="B128" s="3" t="s">
        <v>99</v>
      </c>
      <c r="C128" s="1" t="s">
        <v>100</v>
      </c>
    </row>
    <row r="129" hidden="1" spans="1:3">
      <c r="A129" s="13">
        <v>102008</v>
      </c>
      <c r="B129" s="3" t="s">
        <v>102</v>
      </c>
      <c r="C129" s="1" t="s">
        <v>103</v>
      </c>
    </row>
    <row r="130" hidden="1" spans="1:3">
      <c r="A130" s="13">
        <v>102009</v>
      </c>
      <c r="B130" s="3" t="s">
        <v>105</v>
      </c>
      <c r="C130" s="1" t="s">
        <v>106</v>
      </c>
    </row>
    <row r="131" hidden="1" spans="1:3">
      <c r="A131" s="13">
        <v>102010</v>
      </c>
      <c r="B131" s="8" t="s">
        <v>108</v>
      </c>
      <c r="C131" s="1" t="s">
        <v>334</v>
      </c>
    </row>
    <row r="132" hidden="1" spans="1:3">
      <c r="A132" s="13">
        <v>102011</v>
      </c>
      <c r="B132" s="3" t="s">
        <v>112</v>
      </c>
      <c r="C132" s="1" t="s">
        <v>65</v>
      </c>
    </row>
    <row r="133" hidden="1" spans="1:3">
      <c r="A133" s="13">
        <v>102012</v>
      </c>
      <c r="B133" s="3" t="s">
        <v>115</v>
      </c>
      <c r="C133" s="1" t="s">
        <v>335</v>
      </c>
    </row>
    <row r="134" hidden="1" spans="1:3">
      <c r="A134" s="13">
        <v>102013</v>
      </c>
      <c r="B134" s="3" t="s">
        <v>117</v>
      </c>
      <c r="C134" s="1" t="s">
        <v>118</v>
      </c>
    </row>
    <row r="135" spans="1:3">
      <c r="A135" s="14">
        <v>102014</v>
      </c>
      <c r="B135" s="5" t="s">
        <v>228</v>
      </c>
      <c r="C135" s="6"/>
    </row>
    <row r="136" hidden="1" spans="1:3">
      <c r="A136" s="13">
        <v>102015</v>
      </c>
      <c r="B136" s="3" t="s">
        <v>120</v>
      </c>
      <c r="C136" s="1" t="s">
        <v>121</v>
      </c>
    </row>
    <row r="137" hidden="1" spans="1:3">
      <c r="A137" s="13">
        <v>102016</v>
      </c>
      <c r="B137" s="3" t="s">
        <v>122</v>
      </c>
      <c r="C137" s="1" t="s">
        <v>65</v>
      </c>
    </row>
    <row r="138" hidden="1" spans="1:3">
      <c r="A138" s="13">
        <v>102017</v>
      </c>
      <c r="B138" s="3" t="s">
        <v>125</v>
      </c>
      <c r="C138" s="1" t="s">
        <v>336</v>
      </c>
    </row>
    <row r="139" spans="1:3">
      <c r="A139" s="14">
        <v>102018</v>
      </c>
      <c r="B139" s="5" t="s">
        <v>305</v>
      </c>
      <c r="C139" s="6"/>
    </row>
    <row r="140" spans="1:3">
      <c r="A140" s="14">
        <v>102019</v>
      </c>
      <c r="B140" s="5" t="s">
        <v>306</v>
      </c>
      <c r="C140" s="6"/>
    </row>
    <row r="141" hidden="1" spans="1:3">
      <c r="A141" s="13">
        <v>103000</v>
      </c>
      <c r="B141" s="9" t="s">
        <v>128</v>
      </c>
      <c r="C141" s="1" t="s">
        <v>337</v>
      </c>
    </row>
    <row r="142" hidden="1" spans="1:3">
      <c r="A142" s="13">
        <v>103001</v>
      </c>
      <c r="B142" s="9" t="s">
        <v>131</v>
      </c>
      <c r="C142" s="1" t="s">
        <v>338</v>
      </c>
    </row>
    <row r="143" spans="1:3">
      <c r="A143" s="14">
        <v>103002</v>
      </c>
      <c r="B143" s="10" t="s">
        <v>307</v>
      </c>
      <c r="C143" s="6"/>
    </row>
    <row r="144" hidden="1" spans="1:3">
      <c r="A144" s="13">
        <v>103003</v>
      </c>
      <c r="B144" s="9" t="s">
        <v>134</v>
      </c>
      <c r="C144" s="1" t="s">
        <v>339</v>
      </c>
    </row>
    <row r="145" hidden="1" spans="1:3">
      <c r="A145" s="13">
        <v>103004</v>
      </c>
      <c r="B145" s="9" t="s">
        <v>137</v>
      </c>
      <c r="C145" s="1" t="s">
        <v>340</v>
      </c>
    </row>
    <row r="146" hidden="1" spans="1:3">
      <c r="A146" s="13">
        <v>103005</v>
      </c>
      <c r="B146" s="9" t="s">
        <v>140</v>
      </c>
      <c r="C146" s="11" t="s">
        <v>341</v>
      </c>
    </row>
    <row r="147" hidden="1" spans="1:3">
      <c r="A147" s="13">
        <v>103006</v>
      </c>
      <c r="B147" s="9" t="s">
        <v>142</v>
      </c>
      <c r="C147" s="1" t="s">
        <v>342</v>
      </c>
    </row>
    <row r="148" spans="1:3">
      <c r="A148" s="14">
        <v>103007</v>
      </c>
      <c r="B148" s="10" t="s">
        <v>308</v>
      </c>
      <c r="C148" s="6"/>
    </row>
    <row r="149" hidden="1" spans="1:3">
      <c r="A149" s="13">
        <v>103008</v>
      </c>
      <c r="B149" s="9" t="s">
        <v>145</v>
      </c>
      <c r="C149" s="1" t="s">
        <v>343</v>
      </c>
    </row>
    <row r="150" hidden="1" spans="1:3">
      <c r="A150" s="13">
        <v>103009</v>
      </c>
      <c r="B150" s="9" t="s">
        <v>147</v>
      </c>
      <c r="C150" s="1" t="s">
        <v>344</v>
      </c>
    </row>
    <row r="151" hidden="1" spans="1:3">
      <c r="A151" s="13">
        <v>103010</v>
      </c>
      <c r="B151" s="9" t="s">
        <v>150</v>
      </c>
      <c r="C151" s="1" t="s">
        <v>345</v>
      </c>
    </row>
    <row r="152" spans="1:3">
      <c r="A152" s="14">
        <v>103011</v>
      </c>
      <c r="B152" s="10" t="s">
        <v>309</v>
      </c>
      <c r="C152" s="6"/>
    </row>
    <row r="153" hidden="1" spans="1:3">
      <c r="A153" s="13">
        <v>103012</v>
      </c>
      <c r="B153" s="9" t="s">
        <v>154</v>
      </c>
      <c r="C153" s="1" t="s">
        <v>155</v>
      </c>
    </row>
    <row r="154" hidden="1" spans="1:3">
      <c r="A154" s="13">
        <v>103013</v>
      </c>
      <c r="B154" s="12" t="s">
        <v>157</v>
      </c>
      <c r="C154" s="1" t="s">
        <v>61</v>
      </c>
    </row>
    <row r="155" spans="1:3">
      <c r="A155" s="14">
        <v>103014</v>
      </c>
      <c r="B155" s="10" t="s">
        <v>310</v>
      </c>
      <c r="C155" s="6"/>
    </row>
    <row r="156" hidden="1" spans="1:3">
      <c r="A156" s="13">
        <v>103015</v>
      </c>
      <c r="B156" s="9" t="s">
        <v>159</v>
      </c>
      <c r="C156" s="1" t="s">
        <v>346</v>
      </c>
    </row>
    <row r="157" hidden="1" spans="1:3">
      <c r="A157" s="13">
        <v>103016</v>
      </c>
      <c r="B157" s="9" t="s">
        <v>161</v>
      </c>
      <c r="C157" s="1" t="s">
        <v>347</v>
      </c>
    </row>
    <row r="158" hidden="1" spans="1:3">
      <c r="A158" s="13">
        <v>103017</v>
      </c>
      <c r="B158" s="9" t="s">
        <v>163</v>
      </c>
      <c r="C158" s="1" t="s">
        <v>347</v>
      </c>
    </row>
    <row r="159" hidden="1" spans="1:3">
      <c r="A159" s="13">
        <v>103018</v>
      </c>
      <c r="B159" s="9" t="s">
        <v>166</v>
      </c>
      <c r="C159" s="1" t="s">
        <v>348</v>
      </c>
    </row>
    <row r="160" hidden="1" spans="1:3">
      <c r="A160" s="13">
        <v>103019</v>
      </c>
      <c r="B160" s="9" t="s">
        <v>169</v>
      </c>
      <c r="C160" s="1" t="s">
        <v>349</v>
      </c>
    </row>
    <row r="161" hidden="1" spans="1:3">
      <c r="A161" s="13">
        <v>103020</v>
      </c>
      <c r="B161" s="9" t="s">
        <v>311</v>
      </c>
      <c r="C161" s="1" t="s">
        <v>350</v>
      </c>
    </row>
    <row r="162" hidden="1" spans="1:3">
      <c r="A162" s="13">
        <v>103021</v>
      </c>
      <c r="B162" s="9" t="s">
        <v>171</v>
      </c>
      <c r="C162" s="1" t="s">
        <v>351</v>
      </c>
    </row>
    <row r="163" hidden="1" spans="1:3">
      <c r="A163" s="13">
        <v>104000</v>
      </c>
      <c r="B163" s="3" t="s">
        <v>173</v>
      </c>
      <c r="C163" s="1" t="s">
        <v>269</v>
      </c>
    </row>
    <row r="164" hidden="1" spans="1:3">
      <c r="A164" s="13">
        <v>104001</v>
      </c>
      <c r="B164" s="3" t="s">
        <v>176</v>
      </c>
      <c r="C164" s="1" t="s">
        <v>270</v>
      </c>
    </row>
    <row r="165" hidden="1" spans="1:3">
      <c r="A165" s="13">
        <v>104002</v>
      </c>
      <c r="B165" s="3" t="s">
        <v>179</v>
      </c>
      <c r="C165" s="1" t="s">
        <v>180</v>
      </c>
    </row>
    <row r="166" spans="1:3">
      <c r="A166" s="14">
        <v>104003</v>
      </c>
      <c r="B166" s="5" t="s">
        <v>312</v>
      </c>
      <c r="C166" s="6"/>
    </row>
    <row r="167" hidden="1" spans="1:3">
      <c r="A167" s="13">
        <v>104004</v>
      </c>
      <c r="B167" s="3" t="s">
        <v>181</v>
      </c>
      <c r="C167" s="1" t="s">
        <v>182</v>
      </c>
    </row>
    <row r="168" hidden="1" spans="1:3">
      <c r="A168" s="13">
        <v>104005</v>
      </c>
      <c r="B168" s="3" t="s">
        <v>183</v>
      </c>
      <c r="C168" s="1" t="s">
        <v>184</v>
      </c>
    </row>
    <row r="169" hidden="1" spans="1:3">
      <c r="A169" s="13">
        <v>104006</v>
      </c>
      <c r="B169" s="3" t="s">
        <v>186</v>
      </c>
      <c r="C169" s="1" t="s">
        <v>187</v>
      </c>
    </row>
    <row r="170" hidden="1" spans="1:3">
      <c r="A170" s="13">
        <v>104007</v>
      </c>
      <c r="B170" s="3" t="s">
        <v>189</v>
      </c>
      <c r="C170" s="1" t="s">
        <v>190</v>
      </c>
    </row>
    <row r="171" spans="1:3">
      <c r="A171" s="14">
        <v>104008</v>
      </c>
      <c r="B171" s="5" t="s">
        <v>313</v>
      </c>
      <c r="C171" s="6"/>
    </row>
    <row r="172" hidden="1" spans="1:3">
      <c r="A172" s="13">
        <v>104009</v>
      </c>
      <c r="B172" s="3" t="s">
        <v>191</v>
      </c>
      <c r="C172" s="1" t="s">
        <v>192</v>
      </c>
    </row>
    <row r="173" spans="1:3">
      <c r="A173" s="14">
        <v>104010</v>
      </c>
      <c r="B173" s="5" t="s">
        <v>314</v>
      </c>
      <c r="C173" s="6"/>
    </row>
    <row r="174" spans="1:3">
      <c r="A174" s="14">
        <v>104011</v>
      </c>
      <c r="B174" s="5" t="s">
        <v>315</v>
      </c>
      <c r="C174" s="6"/>
    </row>
    <row r="175" hidden="1" spans="1:3">
      <c r="A175" s="13">
        <v>104012</v>
      </c>
      <c r="B175" s="3" t="s">
        <v>194</v>
      </c>
      <c r="C175" s="1" t="s">
        <v>195</v>
      </c>
    </row>
    <row r="176" spans="1:3">
      <c r="A176" s="14">
        <v>104013</v>
      </c>
      <c r="B176" s="5" t="s">
        <v>316</v>
      </c>
      <c r="C176" s="6"/>
    </row>
    <row r="177" hidden="1" spans="1:3">
      <c r="A177" s="13">
        <v>104014</v>
      </c>
      <c r="B177" s="3" t="s">
        <v>196</v>
      </c>
      <c r="C177" s="1" t="s">
        <v>197</v>
      </c>
    </row>
    <row r="178" hidden="1" spans="1:3">
      <c r="A178" s="13">
        <v>104015</v>
      </c>
      <c r="B178" s="3" t="s">
        <v>198</v>
      </c>
      <c r="C178" s="1" t="s">
        <v>199</v>
      </c>
    </row>
    <row r="179" hidden="1" spans="1:3">
      <c r="A179" s="13">
        <v>104016</v>
      </c>
      <c r="B179" s="3" t="s">
        <v>200</v>
      </c>
      <c r="C179" s="1" t="s">
        <v>201</v>
      </c>
    </row>
    <row r="180" hidden="1" spans="1:3">
      <c r="A180" s="13">
        <v>104017</v>
      </c>
      <c r="B180" s="3" t="s">
        <v>202</v>
      </c>
      <c r="C180" s="1" t="s">
        <v>162</v>
      </c>
    </row>
    <row r="181" hidden="1" spans="1:3">
      <c r="A181" s="13">
        <v>104018</v>
      </c>
      <c r="B181" s="3" t="s">
        <v>204</v>
      </c>
      <c r="C181" s="1" t="s">
        <v>205</v>
      </c>
    </row>
    <row r="182" hidden="1" spans="1:3">
      <c r="A182" s="13">
        <v>104019</v>
      </c>
      <c r="B182" s="3" t="s">
        <v>207</v>
      </c>
      <c r="C182" s="1" t="s">
        <v>208</v>
      </c>
    </row>
    <row r="183" spans="1:3">
      <c r="A183" s="14">
        <v>104020</v>
      </c>
      <c r="B183" s="5" t="s">
        <v>317</v>
      </c>
      <c r="C183" s="6"/>
    </row>
    <row r="184" hidden="1" spans="1:3">
      <c r="A184" s="13">
        <v>104021</v>
      </c>
      <c r="B184" s="3" t="s">
        <v>210</v>
      </c>
      <c r="C184" s="1" t="s">
        <v>211</v>
      </c>
    </row>
    <row r="185" hidden="1" spans="1:3">
      <c r="A185" s="13">
        <v>104022</v>
      </c>
      <c r="B185" s="3" t="s">
        <v>213</v>
      </c>
      <c r="C185" s="1" t="s">
        <v>214</v>
      </c>
    </row>
    <row r="186" hidden="1" spans="1:3">
      <c r="A186" s="13">
        <v>104023</v>
      </c>
      <c r="B186" s="3" t="s">
        <v>215</v>
      </c>
      <c r="C186" s="1" t="s">
        <v>216</v>
      </c>
    </row>
    <row r="187" hidden="1" spans="1:3">
      <c r="A187" s="13">
        <v>104024</v>
      </c>
      <c r="B187" s="3" t="s">
        <v>318</v>
      </c>
      <c r="C187" s="1" t="s">
        <v>220</v>
      </c>
    </row>
    <row r="188" hidden="1" spans="1:3">
      <c r="A188" s="13">
        <v>104025</v>
      </c>
      <c r="B188" s="3" t="s">
        <v>222</v>
      </c>
      <c r="C188" s="1" t="s">
        <v>223</v>
      </c>
    </row>
    <row r="189" hidden="1" spans="1:3">
      <c r="A189" s="13">
        <v>104026</v>
      </c>
      <c r="B189" s="3" t="s">
        <v>226</v>
      </c>
      <c r="C189" s="1" t="s">
        <v>208</v>
      </c>
    </row>
    <row r="190" hidden="1" spans="1:3">
      <c r="A190" s="13">
        <v>104027</v>
      </c>
      <c r="B190" s="3" t="s">
        <v>319</v>
      </c>
      <c r="C190" s="1" t="s">
        <v>229</v>
      </c>
    </row>
    <row r="191" hidden="1" spans="1:3">
      <c r="A191" s="13">
        <v>104028</v>
      </c>
      <c r="B191" s="3" t="s">
        <v>231</v>
      </c>
      <c r="C191" s="1" t="s">
        <v>232</v>
      </c>
    </row>
    <row r="192" spans="1:3">
      <c r="A192" s="14">
        <v>104029</v>
      </c>
      <c r="B192" s="5" t="s">
        <v>320</v>
      </c>
      <c r="C192" s="6"/>
    </row>
    <row r="193" hidden="1" spans="1:3">
      <c r="A193" s="13">
        <v>104030</v>
      </c>
      <c r="B193" s="3" t="s">
        <v>234</v>
      </c>
      <c r="C193" s="1" t="s">
        <v>235</v>
      </c>
    </row>
    <row r="194" hidden="1" spans="1:3">
      <c r="A194" s="13">
        <v>104031</v>
      </c>
      <c r="B194" s="3" t="s">
        <v>236</v>
      </c>
      <c r="C194" s="1" t="s">
        <v>237</v>
      </c>
    </row>
    <row r="195" hidden="1" spans="1:3">
      <c r="A195" s="13">
        <v>104032</v>
      </c>
      <c r="B195" s="3" t="s">
        <v>239</v>
      </c>
      <c r="C195" s="1" t="s">
        <v>240</v>
      </c>
    </row>
    <row r="196" hidden="1" spans="1:3">
      <c r="A196" s="13">
        <v>104033</v>
      </c>
      <c r="B196" s="3" t="s">
        <v>242</v>
      </c>
      <c r="C196" s="1" t="s">
        <v>243</v>
      </c>
    </row>
    <row r="197" hidden="1" spans="1:3">
      <c r="A197" s="13">
        <v>104034</v>
      </c>
      <c r="B197" s="3" t="s">
        <v>244</v>
      </c>
      <c r="C197" s="1" t="s">
        <v>245</v>
      </c>
    </row>
    <row r="198" hidden="1" spans="1:3">
      <c r="A198" s="13">
        <v>104035</v>
      </c>
      <c r="B198" s="3" t="s">
        <v>246</v>
      </c>
      <c r="C198" s="1" t="s">
        <v>247</v>
      </c>
    </row>
    <row r="199" hidden="1" spans="1:3">
      <c r="A199" s="13">
        <v>104036</v>
      </c>
      <c r="B199" s="3" t="s">
        <v>249</v>
      </c>
      <c r="C199" s="1" t="s">
        <v>250</v>
      </c>
    </row>
    <row r="200" hidden="1" spans="1:3">
      <c r="A200" s="13">
        <v>104037</v>
      </c>
      <c r="B200" s="3" t="s">
        <v>251</v>
      </c>
      <c r="C200" s="1" t="s">
        <v>252</v>
      </c>
    </row>
    <row r="201" hidden="1" spans="1:3">
      <c r="A201" s="13">
        <v>104038</v>
      </c>
      <c r="B201" s="3" t="s">
        <v>253</v>
      </c>
      <c r="C201" s="1" t="s">
        <v>254</v>
      </c>
    </row>
    <row r="202" hidden="1" spans="1:3">
      <c r="A202" s="13">
        <v>104039</v>
      </c>
      <c r="B202" s="3" t="s">
        <v>256</v>
      </c>
      <c r="C202" s="1" t="s">
        <v>252</v>
      </c>
    </row>
    <row r="203" hidden="1" spans="1:3">
      <c r="A203" s="13">
        <v>104040</v>
      </c>
      <c r="B203" s="3" t="s">
        <v>257</v>
      </c>
      <c r="C203" s="1" t="s">
        <v>258</v>
      </c>
    </row>
    <row r="204" hidden="1" spans="1:3">
      <c r="A204" s="13" t="s">
        <v>352</v>
      </c>
      <c r="B204" t="s">
        <v>32</v>
      </c>
      <c r="C204" s="1" t="s">
        <v>33</v>
      </c>
    </row>
    <row r="205" hidden="1" spans="1:3">
      <c r="A205" s="13" t="s">
        <v>353</v>
      </c>
      <c r="B205" t="s">
        <v>36</v>
      </c>
      <c r="C205" s="2" t="s">
        <v>37</v>
      </c>
    </row>
    <row r="206" hidden="1" spans="1:3">
      <c r="A206" s="13" t="s">
        <v>354</v>
      </c>
      <c r="B206" t="s">
        <v>40</v>
      </c>
      <c r="C206" s="2" t="s">
        <v>41</v>
      </c>
    </row>
    <row r="207" hidden="1" spans="1:3">
      <c r="A207" s="13" t="s">
        <v>355</v>
      </c>
      <c r="B207" t="s">
        <v>43</v>
      </c>
      <c r="C207" s="2" t="s">
        <v>44</v>
      </c>
    </row>
    <row r="208" hidden="1" spans="1:3">
      <c r="A208" s="13" t="s">
        <v>356</v>
      </c>
      <c r="B208" t="s">
        <v>299</v>
      </c>
      <c r="C208" s="1" t="s">
        <v>321</v>
      </c>
    </row>
    <row r="209" hidden="1" spans="1:3">
      <c r="A209" s="13" t="s">
        <v>357</v>
      </c>
      <c r="B209" t="s">
        <v>46</v>
      </c>
      <c r="C209" s="1" t="s">
        <v>47</v>
      </c>
    </row>
    <row r="210" hidden="1" spans="1:3">
      <c r="A210" s="13" t="s">
        <v>358</v>
      </c>
      <c r="B210" t="s">
        <v>50</v>
      </c>
      <c r="C210" s="1" t="s">
        <v>51</v>
      </c>
    </row>
    <row r="211" hidden="1" spans="1:3">
      <c r="A211" s="13" t="s">
        <v>359</v>
      </c>
      <c r="B211" t="s">
        <v>53</v>
      </c>
      <c r="C211" s="1" t="s">
        <v>54</v>
      </c>
    </row>
    <row r="212" hidden="1" spans="1:3">
      <c r="A212" s="13" t="s">
        <v>360</v>
      </c>
      <c r="B212" t="s">
        <v>300</v>
      </c>
      <c r="C212" s="1" t="s">
        <v>322</v>
      </c>
    </row>
    <row r="213" hidden="1" spans="1:3">
      <c r="A213" s="13" t="s">
        <v>361</v>
      </c>
      <c r="B213" t="s">
        <v>301</v>
      </c>
      <c r="C213" s="1" t="s">
        <v>323</v>
      </c>
    </row>
    <row r="214" hidden="1" spans="1:3">
      <c r="A214" s="13" t="s">
        <v>362</v>
      </c>
      <c r="B214" t="s">
        <v>57</v>
      </c>
      <c r="C214" s="2" t="s">
        <v>324</v>
      </c>
    </row>
    <row r="215" hidden="1" spans="1:3">
      <c r="A215" s="13" t="s">
        <v>363</v>
      </c>
      <c r="B215" t="s">
        <v>60</v>
      </c>
      <c r="C215" s="1" t="s">
        <v>325</v>
      </c>
    </row>
    <row r="216" hidden="1" spans="1:3">
      <c r="A216" s="13" t="s">
        <v>364</v>
      </c>
      <c r="B216" t="s">
        <v>64</v>
      </c>
      <c r="C216" s="2" t="s">
        <v>326</v>
      </c>
    </row>
    <row r="217" hidden="1" spans="1:3">
      <c r="A217" s="13" t="s">
        <v>365</v>
      </c>
      <c r="B217" t="s">
        <v>68</v>
      </c>
      <c r="C217" s="1" t="s">
        <v>327</v>
      </c>
    </row>
    <row r="218" hidden="1" spans="1:3">
      <c r="A218" s="13" t="s">
        <v>366</v>
      </c>
      <c r="B218" t="s">
        <v>72</v>
      </c>
      <c r="C218" s="1" t="s">
        <v>328</v>
      </c>
    </row>
    <row r="219" hidden="1" spans="1:3">
      <c r="A219" s="13" t="s">
        <v>367</v>
      </c>
      <c r="B219" t="s">
        <v>75</v>
      </c>
      <c r="C219" s="1" t="s">
        <v>329</v>
      </c>
    </row>
    <row r="220" hidden="1" spans="1:3">
      <c r="A220" s="13" t="s">
        <v>368</v>
      </c>
      <c r="B220" t="s">
        <v>302</v>
      </c>
      <c r="C220" s="1" t="s">
        <v>326</v>
      </c>
    </row>
    <row r="221" hidden="1" spans="1:3">
      <c r="A221" s="13" t="s">
        <v>369</v>
      </c>
      <c r="B221" t="s">
        <v>77</v>
      </c>
      <c r="C221" s="1" t="s">
        <v>78</v>
      </c>
    </row>
    <row r="222" hidden="1" spans="1:3">
      <c r="A222" s="13" t="s">
        <v>370</v>
      </c>
      <c r="B222" s="3" t="s">
        <v>81</v>
      </c>
      <c r="C222" s="1" t="s">
        <v>330</v>
      </c>
    </row>
    <row r="223" spans="1:3">
      <c r="A223" s="14" t="s">
        <v>371</v>
      </c>
      <c r="B223" s="5" t="s">
        <v>303</v>
      </c>
      <c r="C223" s="6"/>
    </row>
    <row r="224" spans="1:3">
      <c r="A224" s="14" t="s">
        <v>372</v>
      </c>
      <c r="B224" s="5" t="s">
        <v>304</v>
      </c>
      <c r="C224" s="6"/>
    </row>
    <row r="225" hidden="1" spans="1:3">
      <c r="A225" s="13" t="s">
        <v>373</v>
      </c>
      <c r="B225" s="3" t="s">
        <v>85</v>
      </c>
      <c r="C225" s="1" t="s">
        <v>331</v>
      </c>
    </row>
    <row r="226" hidden="1" spans="1:3">
      <c r="A226" s="13" t="s">
        <v>374</v>
      </c>
      <c r="B226" s="3" t="s">
        <v>89</v>
      </c>
      <c r="C226" s="1" t="s">
        <v>332</v>
      </c>
    </row>
    <row r="227" hidden="1" spans="1:3">
      <c r="A227" s="13" t="s">
        <v>375</v>
      </c>
      <c r="B227" s="3" t="s">
        <v>92</v>
      </c>
      <c r="C227" s="1" t="s">
        <v>333</v>
      </c>
    </row>
    <row r="228" hidden="1" spans="1:3">
      <c r="A228" s="13" t="s">
        <v>376</v>
      </c>
      <c r="B228" s="3" t="s">
        <v>96</v>
      </c>
      <c r="C228" s="1" t="s">
        <v>97</v>
      </c>
    </row>
    <row r="229" hidden="1" spans="1:3">
      <c r="A229" s="13" t="s">
        <v>377</v>
      </c>
      <c r="B229" s="3" t="s">
        <v>99</v>
      </c>
      <c r="C229" s="1" t="s">
        <v>100</v>
      </c>
    </row>
    <row r="230" hidden="1" spans="1:3">
      <c r="A230" s="13" t="s">
        <v>378</v>
      </c>
      <c r="B230" s="3" t="s">
        <v>102</v>
      </c>
      <c r="C230" s="1" t="s">
        <v>103</v>
      </c>
    </row>
    <row r="231" hidden="1" spans="1:3">
      <c r="A231" s="13" t="s">
        <v>379</v>
      </c>
      <c r="B231" s="3" t="s">
        <v>105</v>
      </c>
      <c r="C231" s="1" t="s">
        <v>106</v>
      </c>
    </row>
    <row r="232" hidden="1" spans="1:3">
      <c r="A232" s="13" t="s">
        <v>380</v>
      </c>
      <c r="B232" s="8" t="s">
        <v>108</v>
      </c>
      <c r="C232" s="1" t="s">
        <v>334</v>
      </c>
    </row>
    <row r="233" hidden="1" spans="1:3">
      <c r="A233" s="13" t="s">
        <v>381</v>
      </c>
      <c r="B233" s="3" t="s">
        <v>112</v>
      </c>
      <c r="C233" s="1" t="s">
        <v>65</v>
      </c>
    </row>
    <row r="234" hidden="1" spans="1:3">
      <c r="A234" s="13" t="s">
        <v>382</v>
      </c>
      <c r="B234" s="3" t="s">
        <v>115</v>
      </c>
      <c r="C234" s="1" t="s">
        <v>335</v>
      </c>
    </row>
    <row r="235" hidden="1" spans="1:3">
      <c r="A235" s="13" t="s">
        <v>383</v>
      </c>
      <c r="B235" s="3" t="s">
        <v>117</v>
      </c>
      <c r="C235" s="1" t="s">
        <v>118</v>
      </c>
    </row>
    <row r="236" spans="1:3">
      <c r="A236" s="14" t="s">
        <v>384</v>
      </c>
      <c r="B236" s="5" t="s">
        <v>228</v>
      </c>
      <c r="C236" s="6"/>
    </row>
    <row r="237" hidden="1" spans="1:3">
      <c r="A237" s="13" t="s">
        <v>385</v>
      </c>
      <c r="B237" s="3" t="s">
        <v>120</v>
      </c>
      <c r="C237" s="1" t="s">
        <v>121</v>
      </c>
    </row>
    <row r="238" hidden="1" spans="1:3">
      <c r="A238" s="13" t="s">
        <v>386</v>
      </c>
      <c r="B238" s="3" t="s">
        <v>122</v>
      </c>
      <c r="C238" s="1" t="s">
        <v>65</v>
      </c>
    </row>
    <row r="239" hidden="1" spans="1:3">
      <c r="A239" s="13" t="s">
        <v>387</v>
      </c>
      <c r="B239" s="3" t="s">
        <v>125</v>
      </c>
      <c r="C239" s="1" t="s">
        <v>336</v>
      </c>
    </row>
    <row r="240" spans="1:3">
      <c r="A240" s="14" t="s">
        <v>388</v>
      </c>
      <c r="B240" s="5" t="s">
        <v>305</v>
      </c>
      <c r="C240" s="6"/>
    </row>
    <row r="241" spans="1:3">
      <c r="A241" s="14" t="s">
        <v>389</v>
      </c>
      <c r="B241" s="5" t="s">
        <v>306</v>
      </c>
      <c r="C241" s="6"/>
    </row>
    <row r="242" hidden="1" spans="1:3">
      <c r="A242" s="13" t="s">
        <v>390</v>
      </c>
      <c r="B242" s="9" t="s">
        <v>128</v>
      </c>
      <c r="C242" s="1" t="s">
        <v>337</v>
      </c>
    </row>
    <row r="243" hidden="1" spans="1:3">
      <c r="A243" s="13" t="s">
        <v>391</v>
      </c>
      <c r="B243" s="9" t="s">
        <v>131</v>
      </c>
      <c r="C243" s="1" t="s">
        <v>338</v>
      </c>
    </row>
    <row r="244" spans="1:3">
      <c r="A244" s="14" t="s">
        <v>392</v>
      </c>
      <c r="B244" s="10" t="s">
        <v>307</v>
      </c>
      <c r="C244" s="6"/>
    </row>
    <row r="245" hidden="1" spans="1:3">
      <c r="A245" s="13" t="s">
        <v>393</v>
      </c>
      <c r="B245" s="9" t="s">
        <v>134</v>
      </c>
      <c r="C245" s="1" t="s">
        <v>339</v>
      </c>
    </row>
    <row r="246" hidden="1" spans="1:3">
      <c r="A246" s="13" t="s">
        <v>394</v>
      </c>
      <c r="B246" s="9" t="s">
        <v>137</v>
      </c>
      <c r="C246" s="1" t="s">
        <v>340</v>
      </c>
    </row>
    <row r="247" hidden="1" spans="1:3">
      <c r="A247" s="13" t="s">
        <v>395</v>
      </c>
      <c r="B247" s="9" t="s">
        <v>140</v>
      </c>
      <c r="C247" s="11" t="s">
        <v>341</v>
      </c>
    </row>
    <row r="248" hidden="1" spans="1:3">
      <c r="A248" s="13" t="s">
        <v>396</v>
      </c>
      <c r="B248" s="9" t="s">
        <v>142</v>
      </c>
      <c r="C248" s="1" t="s">
        <v>342</v>
      </c>
    </row>
    <row r="249" spans="1:3">
      <c r="A249" s="14" t="s">
        <v>397</v>
      </c>
      <c r="B249" s="10" t="s">
        <v>308</v>
      </c>
      <c r="C249" s="6"/>
    </row>
    <row r="250" hidden="1" spans="1:3">
      <c r="A250" s="13" t="s">
        <v>398</v>
      </c>
      <c r="B250" s="9" t="s">
        <v>145</v>
      </c>
      <c r="C250" s="1" t="s">
        <v>343</v>
      </c>
    </row>
    <row r="251" hidden="1" spans="1:3">
      <c r="A251" s="13" t="s">
        <v>399</v>
      </c>
      <c r="B251" s="9" t="s">
        <v>147</v>
      </c>
      <c r="C251" s="1" t="s">
        <v>344</v>
      </c>
    </row>
    <row r="252" hidden="1" spans="1:3">
      <c r="A252" s="13" t="s">
        <v>400</v>
      </c>
      <c r="B252" s="9" t="s">
        <v>150</v>
      </c>
      <c r="C252" s="1" t="s">
        <v>345</v>
      </c>
    </row>
    <row r="253" spans="1:3">
      <c r="A253" s="14" t="s">
        <v>401</v>
      </c>
      <c r="B253" s="10" t="s">
        <v>309</v>
      </c>
      <c r="C253" s="6"/>
    </row>
    <row r="254" hidden="1" spans="1:3">
      <c r="A254" s="13" t="s">
        <v>402</v>
      </c>
      <c r="B254" s="9" t="s">
        <v>154</v>
      </c>
      <c r="C254" s="1" t="s">
        <v>155</v>
      </c>
    </row>
    <row r="255" hidden="1" spans="1:3">
      <c r="A255" s="13" t="s">
        <v>403</v>
      </c>
      <c r="B255" s="12" t="s">
        <v>157</v>
      </c>
      <c r="C255" s="1" t="s">
        <v>61</v>
      </c>
    </row>
    <row r="256" spans="1:3">
      <c r="A256" s="14" t="s">
        <v>404</v>
      </c>
      <c r="B256" s="10" t="s">
        <v>310</v>
      </c>
      <c r="C256" s="6"/>
    </row>
    <row r="257" hidden="1" spans="1:3">
      <c r="A257" s="13" t="s">
        <v>405</v>
      </c>
      <c r="B257" s="9" t="s">
        <v>159</v>
      </c>
      <c r="C257" s="1" t="s">
        <v>346</v>
      </c>
    </row>
    <row r="258" hidden="1" spans="1:3">
      <c r="A258" s="13" t="s">
        <v>406</v>
      </c>
      <c r="B258" s="9" t="s">
        <v>161</v>
      </c>
      <c r="C258" s="1" t="s">
        <v>347</v>
      </c>
    </row>
    <row r="259" hidden="1" spans="1:3">
      <c r="A259" s="13" t="s">
        <v>407</v>
      </c>
      <c r="B259" s="9" t="s">
        <v>163</v>
      </c>
      <c r="C259" s="1" t="s">
        <v>347</v>
      </c>
    </row>
    <row r="260" hidden="1" spans="1:3">
      <c r="A260" s="13" t="s">
        <v>408</v>
      </c>
      <c r="B260" s="9" t="s">
        <v>166</v>
      </c>
      <c r="C260" s="1" t="s">
        <v>348</v>
      </c>
    </row>
    <row r="261" hidden="1" spans="1:3">
      <c r="A261" s="13" t="s">
        <v>409</v>
      </c>
      <c r="B261" s="9" t="s">
        <v>169</v>
      </c>
      <c r="C261" s="1" t="s">
        <v>349</v>
      </c>
    </row>
    <row r="262" hidden="1" spans="1:3">
      <c r="A262" s="13" t="s">
        <v>410</v>
      </c>
      <c r="B262" s="9" t="s">
        <v>311</v>
      </c>
      <c r="C262" s="1" t="s">
        <v>350</v>
      </c>
    </row>
    <row r="263" hidden="1" spans="1:3">
      <c r="A263" s="13" t="s">
        <v>411</v>
      </c>
      <c r="B263" s="9" t="s">
        <v>171</v>
      </c>
      <c r="C263" s="1" t="s">
        <v>351</v>
      </c>
    </row>
    <row r="264" hidden="1" spans="1:3">
      <c r="A264" s="13" t="s">
        <v>412</v>
      </c>
      <c r="B264" s="3" t="s">
        <v>173</v>
      </c>
      <c r="C264" s="1" t="s">
        <v>269</v>
      </c>
    </row>
    <row r="265" hidden="1" spans="1:3">
      <c r="A265" s="13" t="s">
        <v>413</v>
      </c>
      <c r="B265" s="3" t="s">
        <v>176</v>
      </c>
      <c r="C265" s="1" t="s">
        <v>270</v>
      </c>
    </row>
    <row r="266" hidden="1" spans="1:3">
      <c r="A266" s="13" t="s">
        <v>414</v>
      </c>
      <c r="B266" s="3" t="s">
        <v>179</v>
      </c>
      <c r="C266" s="1" t="s">
        <v>180</v>
      </c>
    </row>
    <row r="267" spans="1:3">
      <c r="A267" s="14" t="s">
        <v>415</v>
      </c>
      <c r="B267" s="5" t="s">
        <v>312</v>
      </c>
      <c r="C267" s="6"/>
    </row>
    <row r="268" hidden="1" spans="1:3">
      <c r="A268" s="13" t="s">
        <v>416</v>
      </c>
      <c r="B268" s="3" t="s">
        <v>181</v>
      </c>
      <c r="C268" s="1" t="s">
        <v>182</v>
      </c>
    </row>
    <row r="269" hidden="1" spans="1:3">
      <c r="A269" s="13" t="s">
        <v>417</v>
      </c>
      <c r="B269" s="3" t="s">
        <v>183</v>
      </c>
      <c r="C269" s="1" t="s">
        <v>184</v>
      </c>
    </row>
    <row r="270" hidden="1" spans="1:3">
      <c r="A270" s="13" t="s">
        <v>418</v>
      </c>
      <c r="B270" s="3" t="s">
        <v>186</v>
      </c>
      <c r="C270" s="1" t="s">
        <v>187</v>
      </c>
    </row>
    <row r="271" hidden="1" spans="1:3">
      <c r="A271" s="13" t="s">
        <v>419</v>
      </c>
      <c r="B271" s="3" t="s">
        <v>189</v>
      </c>
      <c r="C271" s="1" t="s">
        <v>190</v>
      </c>
    </row>
    <row r="272" spans="1:3">
      <c r="A272" s="14" t="s">
        <v>420</v>
      </c>
      <c r="B272" s="5" t="s">
        <v>313</v>
      </c>
      <c r="C272" s="6"/>
    </row>
    <row r="273" hidden="1" spans="1:3">
      <c r="A273" s="13" t="s">
        <v>421</v>
      </c>
      <c r="B273" s="3" t="s">
        <v>191</v>
      </c>
      <c r="C273" s="1" t="s">
        <v>192</v>
      </c>
    </row>
    <row r="274" spans="1:3">
      <c r="A274" s="14" t="s">
        <v>422</v>
      </c>
      <c r="B274" s="5" t="s">
        <v>314</v>
      </c>
      <c r="C274" s="6"/>
    </row>
    <row r="275" spans="1:3">
      <c r="A275" s="14" t="s">
        <v>423</v>
      </c>
      <c r="B275" s="5" t="s">
        <v>315</v>
      </c>
      <c r="C275" s="6"/>
    </row>
    <row r="276" hidden="1" spans="1:3">
      <c r="A276" s="13" t="s">
        <v>424</v>
      </c>
      <c r="B276" s="3" t="s">
        <v>194</v>
      </c>
      <c r="C276" s="1" t="s">
        <v>195</v>
      </c>
    </row>
    <row r="277" spans="1:3">
      <c r="A277" s="14" t="s">
        <v>425</v>
      </c>
      <c r="B277" s="5" t="s">
        <v>316</v>
      </c>
      <c r="C277" s="6"/>
    </row>
    <row r="278" hidden="1" spans="1:3">
      <c r="A278" s="13" t="s">
        <v>426</v>
      </c>
      <c r="B278" s="3" t="s">
        <v>196</v>
      </c>
      <c r="C278" s="1" t="s">
        <v>197</v>
      </c>
    </row>
    <row r="279" hidden="1" spans="1:3">
      <c r="A279" s="13" t="s">
        <v>427</v>
      </c>
      <c r="B279" s="3" t="s">
        <v>198</v>
      </c>
      <c r="C279" s="1" t="s">
        <v>199</v>
      </c>
    </row>
    <row r="280" hidden="1" spans="1:3">
      <c r="A280" s="13" t="s">
        <v>428</v>
      </c>
      <c r="B280" s="3" t="s">
        <v>200</v>
      </c>
      <c r="C280" s="1" t="s">
        <v>201</v>
      </c>
    </row>
    <row r="281" hidden="1" spans="1:3">
      <c r="A281" s="13" t="s">
        <v>429</v>
      </c>
      <c r="B281" s="3" t="s">
        <v>202</v>
      </c>
      <c r="C281" s="1" t="s">
        <v>162</v>
      </c>
    </row>
    <row r="282" hidden="1" spans="1:3">
      <c r="A282" s="13" t="s">
        <v>430</v>
      </c>
      <c r="B282" s="3" t="s">
        <v>204</v>
      </c>
      <c r="C282" s="1" t="s">
        <v>205</v>
      </c>
    </row>
    <row r="283" hidden="1" spans="1:3">
      <c r="A283" s="13" t="s">
        <v>431</v>
      </c>
      <c r="B283" s="3" t="s">
        <v>207</v>
      </c>
      <c r="C283" s="1" t="s">
        <v>208</v>
      </c>
    </row>
    <row r="284" spans="1:3">
      <c r="A284" s="14" t="s">
        <v>432</v>
      </c>
      <c r="B284" s="5" t="s">
        <v>317</v>
      </c>
      <c r="C284" s="6"/>
    </row>
    <row r="285" hidden="1" spans="1:3">
      <c r="A285" s="13" t="s">
        <v>433</v>
      </c>
      <c r="B285" s="3" t="s">
        <v>210</v>
      </c>
      <c r="C285" s="1" t="s">
        <v>211</v>
      </c>
    </row>
    <row r="286" hidden="1" spans="1:3">
      <c r="A286" s="13" t="s">
        <v>434</v>
      </c>
      <c r="B286" s="3" t="s">
        <v>213</v>
      </c>
      <c r="C286" s="1" t="s">
        <v>214</v>
      </c>
    </row>
    <row r="287" hidden="1" spans="1:3">
      <c r="A287" s="13" t="s">
        <v>435</v>
      </c>
      <c r="B287" s="3" t="s">
        <v>215</v>
      </c>
      <c r="C287" s="1" t="s">
        <v>216</v>
      </c>
    </row>
    <row r="288" hidden="1" spans="1:3">
      <c r="A288" s="13" t="s">
        <v>436</v>
      </c>
      <c r="B288" s="3" t="s">
        <v>318</v>
      </c>
      <c r="C288" s="1" t="s">
        <v>220</v>
      </c>
    </row>
    <row r="289" hidden="1" spans="1:3">
      <c r="A289" s="13" t="s">
        <v>437</v>
      </c>
      <c r="B289" s="3" t="s">
        <v>222</v>
      </c>
      <c r="C289" s="1" t="s">
        <v>223</v>
      </c>
    </row>
    <row r="290" hidden="1" spans="1:3">
      <c r="A290" s="13" t="s">
        <v>438</v>
      </c>
      <c r="B290" s="3" t="s">
        <v>226</v>
      </c>
      <c r="C290" s="1" t="s">
        <v>208</v>
      </c>
    </row>
    <row r="291" hidden="1" spans="1:3">
      <c r="A291" s="13" t="s">
        <v>439</v>
      </c>
      <c r="B291" s="3" t="s">
        <v>319</v>
      </c>
      <c r="C291" s="1" t="s">
        <v>229</v>
      </c>
    </row>
    <row r="292" hidden="1" spans="1:3">
      <c r="A292" s="13" t="s">
        <v>440</v>
      </c>
      <c r="B292" s="3" t="s">
        <v>231</v>
      </c>
      <c r="C292" s="1" t="s">
        <v>232</v>
      </c>
    </row>
    <row r="293" spans="1:3">
      <c r="A293" s="14" t="s">
        <v>441</v>
      </c>
      <c r="B293" s="5" t="s">
        <v>320</v>
      </c>
      <c r="C293" s="6"/>
    </row>
    <row r="294" hidden="1" spans="1:3">
      <c r="A294" s="13" t="s">
        <v>442</v>
      </c>
      <c r="B294" s="3" t="s">
        <v>234</v>
      </c>
      <c r="C294" s="1" t="s">
        <v>235</v>
      </c>
    </row>
    <row r="295" hidden="1" spans="1:3">
      <c r="A295" s="13" t="s">
        <v>443</v>
      </c>
      <c r="B295" s="3" t="s">
        <v>236</v>
      </c>
      <c r="C295" s="1" t="s">
        <v>237</v>
      </c>
    </row>
    <row r="296" hidden="1" spans="1:3">
      <c r="A296" s="13" t="s">
        <v>444</v>
      </c>
      <c r="B296" s="3" t="s">
        <v>239</v>
      </c>
      <c r="C296" s="1" t="s">
        <v>240</v>
      </c>
    </row>
    <row r="297" hidden="1" spans="1:3">
      <c r="A297" s="13" t="s">
        <v>445</v>
      </c>
      <c r="B297" s="3" t="s">
        <v>242</v>
      </c>
      <c r="C297" s="1" t="s">
        <v>243</v>
      </c>
    </row>
    <row r="298" hidden="1" spans="1:3">
      <c r="A298" s="13" t="s">
        <v>446</v>
      </c>
      <c r="B298" s="3" t="s">
        <v>244</v>
      </c>
      <c r="C298" s="1" t="s">
        <v>245</v>
      </c>
    </row>
    <row r="299" hidden="1" spans="1:3">
      <c r="A299" s="13" t="s">
        <v>447</v>
      </c>
      <c r="B299" s="3" t="s">
        <v>246</v>
      </c>
      <c r="C299" s="1" t="s">
        <v>247</v>
      </c>
    </row>
    <row r="300" hidden="1" spans="1:3">
      <c r="A300" s="13" t="s">
        <v>448</v>
      </c>
      <c r="B300" s="3" t="s">
        <v>249</v>
      </c>
      <c r="C300" s="1" t="s">
        <v>250</v>
      </c>
    </row>
    <row r="301" hidden="1" spans="1:3">
      <c r="A301" s="13" t="s">
        <v>449</v>
      </c>
      <c r="B301" s="3" t="s">
        <v>251</v>
      </c>
      <c r="C301" s="1" t="s">
        <v>252</v>
      </c>
    </row>
    <row r="302" hidden="1" spans="1:3">
      <c r="A302" s="13" t="s">
        <v>450</v>
      </c>
      <c r="B302" s="3" t="s">
        <v>253</v>
      </c>
      <c r="C302" s="1" t="s">
        <v>254</v>
      </c>
    </row>
    <row r="303" hidden="1" spans="1:3">
      <c r="A303" s="13" t="s">
        <v>451</v>
      </c>
      <c r="B303" s="3" t="s">
        <v>256</v>
      </c>
      <c r="C303" s="1" t="s">
        <v>252</v>
      </c>
    </row>
    <row r="304" hidden="1" spans="1:3">
      <c r="A304" s="13" t="s">
        <v>452</v>
      </c>
      <c r="B304" s="3" t="s">
        <v>257</v>
      </c>
      <c r="C304" s="1" t="s">
        <v>258</v>
      </c>
    </row>
  </sheetData>
  <autoFilter ref="C1:C304">
    <filterColumn colId="0">
      <filters blank="1"/>
    </filterColumn>
    <extLst/>
  </autoFilter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U257"/>
  <sheetViews>
    <sheetView topLeftCell="A239" workbookViewId="0">
      <selection activeCell="S256" sqref="S2:S256"/>
    </sheetView>
  </sheetViews>
  <sheetFormatPr defaultColWidth="9" defaultRowHeight="14.25"/>
  <cols>
    <col min="3" max="3" width="11.625" customWidth="1"/>
  </cols>
  <sheetData>
    <row r="1" spans="11:12">
      <c r="K1" t="s">
        <v>1</v>
      </c>
      <c r="L1" t="s">
        <v>453</v>
      </c>
    </row>
    <row r="2" spans="1:19">
      <c r="A2">
        <v>31000</v>
      </c>
      <c r="B2">
        <v>0</v>
      </c>
      <c r="C2">
        <v>33556017</v>
      </c>
      <c r="H2" t="s">
        <v>32</v>
      </c>
      <c r="I2">
        <f>VLOOKUP(H2,$K$2:$L$102,2,0)</f>
        <v>4</v>
      </c>
      <c r="K2" t="s">
        <v>32</v>
      </c>
      <c r="L2">
        <v>4</v>
      </c>
      <c r="N2" t="str">
        <f>VLOOKUP(I2,$C$88:$F$91,2,0)</f>
        <v>{1,116}</v>
      </c>
      <c r="O2" t="str">
        <f>VLOOKUP(I2,$C$88:$F$91,3,0)</f>
        <v>{2,14}</v>
      </c>
      <c r="P2" t="str">
        <f>VLOOKUP(I2,$C$88:$F$91,4,0)</f>
        <v>{3,448}</v>
      </c>
      <c r="Q2" t="s">
        <v>454</v>
      </c>
      <c r="R2" t="s">
        <v>455</v>
      </c>
      <c r="S2" t="e">
        <f t="array" ref="S2">[2]!LKnum(N2:R2)</f>
        <v>#NAME?</v>
      </c>
    </row>
    <row r="3" spans="1:19">
      <c r="A3">
        <v>31001</v>
      </c>
      <c r="B3">
        <v>0</v>
      </c>
      <c r="C3">
        <v>16779561</v>
      </c>
      <c r="H3" t="s">
        <v>36</v>
      </c>
      <c r="I3">
        <f t="shared" ref="I3:I66" si="0">VLOOKUP(H3,$K$2:$L$102,2,0)</f>
        <v>2</v>
      </c>
      <c r="K3" t="s">
        <v>36</v>
      </c>
      <c r="L3">
        <v>2</v>
      </c>
      <c r="N3" t="str">
        <f t="shared" ref="N3:N66" si="1">VLOOKUP(I3,$C$88:$F$91,2,0)</f>
        <v>{1,113}</v>
      </c>
      <c r="O3" t="str">
        <f t="shared" ref="O3:O66" si="2">VLOOKUP(I3,$C$88:$F$91,3,0)</f>
        <v>{2,17}</v>
      </c>
      <c r="P3" t="str">
        <f t="shared" ref="P3:P66" si="3">VLOOKUP(I3,$C$88:$F$91,4,0)</f>
        <v>{3,451}</v>
      </c>
      <c r="Q3" t="s">
        <v>454</v>
      </c>
      <c r="R3" t="s">
        <v>455</v>
      </c>
      <c r="S3" t="e">
        <f t="array" ref="S3">[2]!LKnum(N3:R3)</f>
        <v>#NAME?</v>
      </c>
    </row>
    <row r="4" spans="1:19">
      <c r="A4">
        <v>31002</v>
      </c>
      <c r="B4">
        <v>0</v>
      </c>
      <c r="C4">
        <v>268961061</v>
      </c>
      <c r="H4" t="s">
        <v>40</v>
      </c>
      <c r="I4">
        <f t="shared" si="0"/>
        <v>1</v>
      </c>
      <c r="K4" t="s">
        <v>40</v>
      </c>
      <c r="L4">
        <v>1</v>
      </c>
      <c r="N4" t="str">
        <f t="shared" si="1"/>
        <v>{1,115}</v>
      </c>
      <c r="O4" t="str">
        <f t="shared" si="2"/>
        <v>{2,15}</v>
      </c>
      <c r="P4" t="str">
        <f t="shared" si="3"/>
        <v>{3,449}</v>
      </c>
      <c r="Q4" t="s">
        <v>454</v>
      </c>
      <c r="R4" t="s">
        <v>455</v>
      </c>
      <c r="S4" t="e">
        <f t="array" ref="S4">[2]!LKnum(N4:R4)</f>
        <v>#NAME?</v>
      </c>
    </row>
    <row r="5" spans="1:19">
      <c r="A5">
        <v>31003</v>
      </c>
      <c r="B5">
        <v>0</v>
      </c>
      <c r="C5">
        <v>67110185</v>
      </c>
      <c r="H5" t="s">
        <v>43</v>
      </c>
      <c r="I5">
        <f t="shared" si="0"/>
        <v>1</v>
      </c>
      <c r="K5" t="s">
        <v>43</v>
      </c>
      <c r="L5">
        <v>1</v>
      </c>
      <c r="N5" t="str">
        <f t="shared" si="1"/>
        <v>{1,115}</v>
      </c>
      <c r="O5" t="str">
        <f t="shared" si="2"/>
        <v>{2,15}</v>
      </c>
      <c r="P5" t="str">
        <f t="shared" si="3"/>
        <v>{3,449}</v>
      </c>
      <c r="Q5" t="s">
        <v>454</v>
      </c>
      <c r="R5" t="s">
        <v>455</v>
      </c>
      <c r="S5" t="e">
        <f t="array" ref="S5">[2]!LKnum(N5:R5)</f>
        <v>#NAME?</v>
      </c>
    </row>
    <row r="6" spans="1:19">
      <c r="A6">
        <v>31004</v>
      </c>
      <c r="B6">
        <v>0</v>
      </c>
      <c r="C6">
        <v>134222115</v>
      </c>
      <c r="H6" t="s">
        <v>299</v>
      </c>
      <c r="I6">
        <f t="shared" si="0"/>
        <v>2</v>
      </c>
      <c r="K6" t="s">
        <v>299</v>
      </c>
      <c r="L6">
        <v>2</v>
      </c>
      <c r="N6" t="str">
        <f t="shared" si="1"/>
        <v>{1,113}</v>
      </c>
      <c r="O6" t="str">
        <f t="shared" si="2"/>
        <v>{2,17}</v>
      </c>
      <c r="P6" t="str">
        <f t="shared" si="3"/>
        <v>{3,451}</v>
      </c>
      <c r="Q6" t="s">
        <v>454</v>
      </c>
      <c r="R6" t="s">
        <v>455</v>
      </c>
      <c r="S6" t="e">
        <f t="array" ref="S6">[2]!LKnum(N6:R6)</f>
        <v>#NAME?</v>
      </c>
    </row>
    <row r="7" spans="1:19">
      <c r="A7">
        <v>31005</v>
      </c>
      <c r="B7">
        <v>0</v>
      </c>
      <c r="C7">
        <v>276824613</v>
      </c>
      <c r="H7" t="s">
        <v>46</v>
      </c>
      <c r="I7">
        <f t="shared" si="0"/>
        <v>4</v>
      </c>
      <c r="K7" t="s">
        <v>46</v>
      </c>
      <c r="L7">
        <v>4</v>
      </c>
      <c r="N7" t="str">
        <f t="shared" si="1"/>
        <v>{1,116}</v>
      </c>
      <c r="O7" t="str">
        <f t="shared" si="2"/>
        <v>{2,14}</v>
      </c>
      <c r="P7" t="str">
        <f t="shared" si="3"/>
        <v>{3,448}</v>
      </c>
      <c r="Q7" t="s">
        <v>454</v>
      </c>
      <c r="R7" t="s">
        <v>455</v>
      </c>
      <c r="S7" t="e">
        <f t="array" ref="S7">[2]!LKnum(N7:R7)</f>
        <v>#NAME?</v>
      </c>
    </row>
    <row r="8" spans="1:19">
      <c r="A8">
        <v>31006</v>
      </c>
      <c r="B8">
        <v>0</v>
      </c>
      <c r="C8">
        <v>537133603</v>
      </c>
      <c r="H8" t="s">
        <v>50</v>
      </c>
      <c r="I8">
        <f t="shared" si="0"/>
        <v>3</v>
      </c>
      <c r="K8" t="s">
        <v>50</v>
      </c>
      <c r="L8">
        <v>3</v>
      </c>
      <c r="N8" t="str">
        <f t="shared" si="1"/>
        <v>{1,114}</v>
      </c>
      <c r="O8" t="str">
        <f t="shared" si="2"/>
        <v>{2,16}</v>
      </c>
      <c r="P8" t="str">
        <f t="shared" si="3"/>
        <v>{3,450}</v>
      </c>
      <c r="Q8" t="s">
        <v>454</v>
      </c>
      <c r="R8" t="s">
        <v>455</v>
      </c>
      <c r="S8" t="e">
        <f t="array" ref="S8">[2]!LKnum(N8:R8)</f>
        <v>#NAME?</v>
      </c>
    </row>
    <row r="9" spans="1:19">
      <c r="A9">
        <v>31007</v>
      </c>
      <c r="B9">
        <v>0</v>
      </c>
      <c r="C9">
        <v>1073775139</v>
      </c>
      <c r="H9" t="s">
        <v>53</v>
      </c>
      <c r="I9">
        <f t="shared" si="0"/>
        <v>4</v>
      </c>
      <c r="K9" t="s">
        <v>53</v>
      </c>
      <c r="L9">
        <v>4</v>
      </c>
      <c r="N9" t="str">
        <f t="shared" si="1"/>
        <v>{1,116}</v>
      </c>
      <c r="O9" t="str">
        <f t="shared" si="2"/>
        <v>{2,14}</v>
      </c>
      <c r="P9" t="str">
        <f t="shared" si="3"/>
        <v>{3,448}</v>
      </c>
      <c r="Q9" t="s">
        <v>454</v>
      </c>
      <c r="R9" t="s">
        <v>455</v>
      </c>
      <c r="S9" t="e">
        <f t="array" ref="S9">[2]!LKnum(N9:R9)</f>
        <v>#NAME?</v>
      </c>
    </row>
    <row r="10" spans="1:19">
      <c r="A10">
        <v>31008</v>
      </c>
      <c r="B10">
        <v>0</v>
      </c>
      <c r="C10">
        <v>2147492387</v>
      </c>
      <c r="H10" t="s">
        <v>300</v>
      </c>
      <c r="I10">
        <f t="shared" si="0"/>
        <v>3</v>
      </c>
      <c r="K10" t="s">
        <v>300</v>
      </c>
      <c r="L10">
        <v>3</v>
      </c>
      <c r="N10" t="str">
        <f t="shared" si="1"/>
        <v>{1,114}</v>
      </c>
      <c r="O10" t="str">
        <f t="shared" si="2"/>
        <v>{2,16}</v>
      </c>
      <c r="P10" t="str">
        <f t="shared" si="3"/>
        <v>{3,450}</v>
      </c>
      <c r="Q10" t="s">
        <v>454</v>
      </c>
      <c r="R10" t="s">
        <v>455</v>
      </c>
      <c r="S10" t="e">
        <f t="array" ref="S10">[2]!LKnum(N10:R10)</f>
        <v>#NAME?</v>
      </c>
    </row>
    <row r="11" spans="1:19">
      <c r="A11">
        <v>31009</v>
      </c>
      <c r="B11">
        <v>0</v>
      </c>
      <c r="C11">
        <v>4295098915</v>
      </c>
      <c r="H11" t="s">
        <v>301</v>
      </c>
      <c r="I11">
        <f t="shared" si="0"/>
        <v>4</v>
      </c>
      <c r="K11" t="s">
        <v>301</v>
      </c>
      <c r="L11">
        <v>4</v>
      </c>
      <c r="N11" t="str">
        <f t="shared" si="1"/>
        <v>{1,116}</v>
      </c>
      <c r="O11" t="str">
        <f t="shared" si="2"/>
        <v>{2,14}</v>
      </c>
      <c r="P11" t="str">
        <f t="shared" si="3"/>
        <v>{3,448}</v>
      </c>
      <c r="Q11" t="s">
        <v>454</v>
      </c>
      <c r="R11" t="s">
        <v>455</v>
      </c>
      <c r="S11" t="e">
        <f t="array" ref="S11">[2]!LKnum(N11:R11)</f>
        <v>#NAME?</v>
      </c>
    </row>
    <row r="12" spans="1:19">
      <c r="A12">
        <v>31010</v>
      </c>
      <c r="B12">
        <v>0</v>
      </c>
      <c r="C12">
        <v>134220069</v>
      </c>
      <c r="H12" t="s">
        <v>57</v>
      </c>
      <c r="I12">
        <f t="shared" si="0"/>
        <v>2</v>
      </c>
      <c r="K12" t="s">
        <v>57</v>
      </c>
      <c r="L12">
        <v>2</v>
      </c>
      <c r="N12" t="str">
        <f t="shared" si="1"/>
        <v>{1,113}</v>
      </c>
      <c r="O12" t="str">
        <f t="shared" si="2"/>
        <v>{2,17}</v>
      </c>
      <c r="P12" t="str">
        <f t="shared" si="3"/>
        <v>{3,451}</v>
      </c>
      <c r="Q12" t="s">
        <v>454</v>
      </c>
      <c r="R12" t="s">
        <v>455</v>
      </c>
      <c r="S12" t="e">
        <f t="array" ref="S12">[2]!LKnum(N12:R12)</f>
        <v>#NAME?</v>
      </c>
    </row>
    <row r="13" spans="1:19">
      <c r="A13">
        <v>31011</v>
      </c>
      <c r="B13">
        <v>0</v>
      </c>
      <c r="C13">
        <v>268443939</v>
      </c>
      <c r="H13" t="s">
        <v>60</v>
      </c>
      <c r="I13">
        <f t="shared" si="0"/>
        <v>2</v>
      </c>
      <c r="K13" t="s">
        <v>60</v>
      </c>
      <c r="L13">
        <v>2</v>
      </c>
      <c r="N13" t="str">
        <f t="shared" si="1"/>
        <v>{1,113}</v>
      </c>
      <c r="O13" t="str">
        <f t="shared" si="2"/>
        <v>{2,17}</v>
      </c>
      <c r="P13" t="str">
        <f t="shared" si="3"/>
        <v>{3,451}</v>
      </c>
      <c r="Q13" t="s">
        <v>454</v>
      </c>
      <c r="R13" t="s">
        <v>455</v>
      </c>
      <c r="S13" t="e">
        <f t="array" ref="S13">[2]!LKnum(N13:R13)</f>
        <v>#NAME?</v>
      </c>
    </row>
    <row r="14" spans="1:19">
      <c r="A14">
        <v>31012</v>
      </c>
      <c r="B14">
        <v>0</v>
      </c>
      <c r="C14">
        <v>268437797</v>
      </c>
      <c r="H14" t="s">
        <v>64</v>
      </c>
      <c r="I14">
        <f t="shared" si="0"/>
        <v>1</v>
      </c>
      <c r="K14" t="s">
        <v>64</v>
      </c>
      <c r="L14">
        <v>1</v>
      </c>
      <c r="N14" t="str">
        <f t="shared" si="1"/>
        <v>{1,115}</v>
      </c>
      <c r="O14" t="str">
        <f t="shared" si="2"/>
        <v>{2,15}</v>
      </c>
      <c r="P14" t="str">
        <f t="shared" si="3"/>
        <v>{3,449}</v>
      </c>
      <c r="Q14" t="s">
        <v>454</v>
      </c>
      <c r="R14" t="s">
        <v>455</v>
      </c>
      <c r="S14" t="e">
        <f t="array" ref="S14">[2]!LKnum(N14:R14)</f>
        <v>#NAME?</v>
      </c>
    </row>
    <row r="15" spans="1:19">
      <c r="A15">
        <v>31013</v>
      </c>
      <c r="B15">
        <v>0</v>
      </c>
      <c r="C15">
        <v>268436773</v>
      </c>
      <c r="H15" t="s">
        <v>68</v>
      </c>
      <c r="I15">
        <f t="shared" si="0"/>
        <v>1</v>
      </c>
      <c r="K15" t="s">
        <v>68</v>
      </c>
      <c r="L15">
        <v>1</v>
      </c>
      <c r="N15" t="str">
        <f t="shared" si="1"/>
        <v>{1,115}</v>
      </c>
      <c r="O15" t="str">
        <f t="shared" si="2"/>
        <v>{2,15}</v>
      </c>
      <c r="P15" t="str">
        <f t="shared" si="3"/>
        <v>{3,449}</v>
      </c>
      <c r="Q15" t="s">
        <v>454</v>
      </c>
      <c r="R15" t="s">
        <v>455</v>
      </c>
      <c r="S15" t="e">
        <f t="array" ref="S15">[2]!LKnum(N15:R15)</f>
        <v>#NAME?</v>
      </c>
    </row>
    <row r="16" spans="1:19">
      <c r="A16">
        <v>31014</v>
      </c>
      <c r="B16">
        <v>0</v>
      </c>
      <c r="C16">
        <v>402719267</v>
      </c>
      <c r="H16" t="s">
        <v>72</v>
      </c>
      <c r="I16">
        <f t="shared" si="0"/>
        <v>4</v>
      </c>
      <c r="K16" t="s">
        <v>72</v>
      </c>
      <c r="L16">
        <v>4</v>
      </c>
      <c r="N16" t="str">
        <f t="shared" si="1"/>
        <v>{1,116}</v>
      </c>
      <c r="O16" t="str">
        <f t="shared" si="2"/>
        <v>{2,14}</v>
      </c>
      <c r="P16" t="str">
        <f t="shared" si="3"/>
        <v>{3,448}</v>
      </c>
      <c r="Q16" t="s">
        <v>454</v>
      </c>
      <c r="R16" t="s">
        <v>455</v>
      </c>
      <c r="S16" t="e">
        <f t="array" ref="S16">[2]!LKnum(N16:R16)</f>
        <v>#NAME?</v>
      </c>
    </row>
    <row r="17" spans="1:19">
      <c r="A17">
        <v>31015</v>
      </c>
      <c r="B17">
        <v>0</v>
      </c>
      <c r="C17">
        <v>402655779</v>
      </c>
      <c r="H17" t="s">
        <v>75</v>
      </c>
      <c r="I17">
        <f t="shared" si="0"/>
        <v>4</v>
      </c>
      <c r="K17" t="s">
        <v>75</v>
      </c>
      <c r="L17">
        <v>4</v>
      </c>
      <c r="N17" t="str">
        <f t="shared" si="1"/>
        <v>{1,116}</v>
      </c>
      <c r="O17" t="str">
        <f t="shared" si="2"/>
        <v>{2,14}</v>
      </c>
      <c r="P17" t="str">
        <f t="shared" si="3"/>
        <v>{3,448}</v>
      </c>
      <c r="Q17" t="s">
        <v>454</v>
      </c>
      <c r="R17" t="s">
        <v>455</v>
      </c>
      <c r="S17" t="e">
        <f t="array" ref="S17">[2]!LKnum(N17:R17)</f>
        <v>#NAME?</v>
      </c>
    </row>
    <row r="18" spans="1:19">
      <c r="A18">
        <v>31016</v>
      </c>
      <c r="B18">
        <v>0</v>
      </c>
      <c r="C18">
        <v>268437797</v>
      </c>
      <c r="H18" t="s">
        <v>302</v>
      </c>
      <c r="I18">
        <f t="shared" si="0"/>
        <v>1</v>
      </c>
      <c r="K18" t="s">
        <v>302</v>
      </c>
      <c r="L18">
        <v>1</v>
      </c>
      <c r="N18" t="str">
        <f t="shared" si="1"/>
        <v>{1,115}</v>
      </c>
      <c r="O18" t="str">
        <f t="shared" si="2"/>
        <v>{2,15}</v>
      </c>
      <c r="P18" t="str">
        <f t="shared" si="3"/>
        <v>{3,449}</v>
      </c>
      <c r="Q18" t="s">
        <v>454</v>
      </c>
      <c r="R18" t="s">
        <v>455</v>
      </c>
      <c r="S18" t="e">
        <f t="array" ref="S18">[2]!LKnum(N18:R18)</f>
        <v>#NAME?</v>
      </c>
    </row>
    <row r="19" spans="1:19">
      <c r="A19">
        <v>31017</v>
      </c>
      <c r="B19">
        <v>0</v>
      </c>
      <c r="C19">
        <v>67178833</v>
      </c>
      <c r="H19" t="s">
        <v>77</v>
      </c>
      <c r="I19">
        <f t="shared" si="0"/>
        <v>1</v>
      </c>
      <c r="K19" t="s">
        <v>77</v>
      </c>
      <c r="L19">
        <v>1</v>
      </c>
      <c r="N19" t="str">
        <f t="shared" si="1"/>
        <v>{1,115}</v>
      </c>
      <c r="O19" t="str">
        <f t="shared" si="2"/>
        <v>{2,15}</v>
      </c>
      <c r="P19" t="str">
        <f t="shared" si="3"/>
        <v>{3,449}</v>
      </c>
      <c r="Q19" t="s">
        <v>454</v>
      </c>
      <c r="R19" t="s">
        <v>455</v>
      </c>
      <c r="S19" t="e">
        <f t="array" ref="S19">[2]!LKnum(N19:R19)</f>
        <v>#NAME?</v>
      </c>
    </row>
    <row r="20" spans="1:19">
      <c r="A20">
        <v>32000</v>
      </c>
      <c r="B20">
        <v>0</v>
      </c>
      <c r="C20">
        <v>268438083</v>
      </c>
      <c r="H20" t="s">
        <v>81</v>
      </c>
      <c r="I20">
        <f t="shared" si="0"/>
        <v>4</v>
      </c>
      <c r="K20" t="s">
        <v>81</v>
      </c>
      <c r="L20">
        <v>4</v>
      </c>
      <c r="N20" t="str">
        <f t="shared" si="1"/>
        <v>{1,116}</v>
      </c>
      <c r="O20" t="str">
        <f t="shared" si="2"/>
        <v>{2,14}</v>
      </c>
      <c r="P20" t="str">
        <f t="shared" si="3"/>
        <v>{3,448}</v>
      </c>
      <c r="Q20" t="s">
        <v>454</v>
      </c>
      <c r="R20" t="s">
        <v>455</v>
      </c>
      <c r="S20" t="e">
        <f t="array" ref="S20">[2]!LKnum(N20:R20)</f>
        <v>#NAME?</v>
      </c>
    </row>
    <row r="21" spans="1:19">
      <c r="A21">
        <v>32003</v>
      </c>
      <c r="B21">
        <v>0</v>
      </c>
      <c r="C21">
        <v>268439875</v>
      </c>
      <c r="H21" t="s">
        <v>85</v>
      </c>
      <c r="I21">
        <f t="shared" si="0"/>
        <v>2</v>
      </c>
      <c r="K21" t="s">
        <v>303</v>
      </c>
      <c r="L21">
        <v>1</v>
      </c>
      <c r="N21" t="str">
        <f t="shared" si="1"/>
        <v>{1,113}</v>
      </c>
      <c r="O21" t="str">
        <f t="shared" si="2"/>
        <v>{2,17}</v>
      </c>
      <c r="P21" t="str">
        <f t="shared" si="3"/>
        <v>{3,451}</v>
      </c>
      <c r="Q21" t="s">
        <v>454</v>
      </c>
      <c r="R21" t="s">
        <v>455</v>
      </c>
      <c r="S21" t="e">
        <f t="array" ref="S21">[2]!LKnum(N21:R21)</f>
        <v>#NAME?</v>
      </c>
    </row>
    <row r="22" spans="1:19">
      <c r="A22">
        <v>32004</v>
      </c>
      <c r="B22">
        <v>0</v>
      </c>
      <c r="C22">
        <v>1207962181</v>
      </c>
      <c r="H22" t="s">
        <v>89</v>
      </c>
      <c r="I22">
        <f t="shared" si="0"/>
        <v>4</v>
      </c>
      <c r="K22" t="s">
        <v>304</v>
      </c>
      <c r="L22">
        <v>2</v>
      </c>
      <c r="N22" t="str">
        <f t="shared" si="1"/>
        <v>{1,116}</v>
      </c>
      <c r="O22" t="str">
        <f t="shared" si="2"/>
        <v>{2,14}</v>
      </c>
      <c r="P22" t="str">
        <f t="shared" si="3"/>
        <v>{3,448}</v>
      </c>
      <c r="Q22" t="s">
        <v>454</v>
      </c>
      <c r="R22" t="s">
        <v>455</v>
      </c>
      <c r="S22" t="e">
        <f t="array" ref="S22">[2]!LKnum(N22:R22)</f>
        <v>#NAME?</v>
      </c>
    </row>
    <row r="23" spans="1:19">
      <c r="A23">
        <v>32005</v>
      </c>
      <c r="B23">
        <v>0</v>
      </c>
      <c r="C23">
        <v>402915653</v>
      </c>
      <c r="H23" t="s">
        <v>92</v>
      </c>
      <c r="I23">
        <f t="shared" si="0"/>
        <v>2</v>
      </c>
      <c r="K23" t="s">
        <v>85</v>
      </c>
      <c r="L23">
        <v>2</v>
      </c>
      <c r="N23" t="str">
        <f t="shared" si="1"/>
        <v>{1,113}</v>
      </c>
      <c r="O23" t="str">
        <f t="shared" si="2"/>
        <v>{2,17}</v>
      </c>
      <c r="P23" t="str">
        <f t="shared" si="3"/>
        <v>{3,451}</v>
      </c>
      <c r="Q23" t="s">
        <v>454</v>
      </c>
      <c r="R23" t="s">
        <v>455</v>
      </c>
      <c r="S23" t="e">
        <f t="array" ref="S23">[2]!LKnum(N23:R23)</f>
        <v>#NAME?</v>
      </c>
    </row>
    <row r="24" spans="1:19">
      <c r="A24">
        <v>32006</v>
      </c>
      <c r="B24">
        <v>0</v>
      </c>
      <c r="C24">
        <v>33819217</v>
      </c>
      <c r="H24" t="s">
        <v>96</v>
      </c>
      <c r="I24">
        <f t="shared" si="0"/>
        <v>3</v>
      </c>
      <c r="K24" t="s">
        <v>89</v>
      </c>
      <c r="L24">
        <v>4</v>
      </c>
      <c r="N24" t="str">
        <f t="shared" si="1"/>
        <v>{1,114}</v>
      </c>
      <c r="O24" t="str">
        <f t="shared" si="2"/>
        <v>{2,16}</v>
      </c>
      <c r="P24" t="str">
        <f t="shared" si="3"/>
        <v>{3,450}</v>
      </c>
      <c r="Q24" t="s">
        <v>454</v>
      </c>
      <c r="R24" t="s">
        <v>455</v>
      </c>
      <c r="S24" t="e">
        <f t="array" ref="S24">[2]!LKnum(N24:R24)</f>
        <v>#NAME?</v>
      </c>
    </row>
    <row r="25" spans="1:19">
      <c r="A25">
        <v>32007</v>
      </c>
      <c r="B25">
        <v>0</v>
      </c>
      <c r="C25">
        <v>33556817</v>
      </c>
      <c r="H25" t="s">
        <v>99</v>
      </c>
      <c r="I25">
        <f t="shared" si="0"/>
        <v>1</v>
      </c>
      <c r="K25" t="s">
        <v>92</v>
      </c>
      <c r="L25">
        <v>2</v>
      </c>
      <c r="N25" t="str">
        <f t="shared" si="1"/>
        <v>{1,115}</v>
      </c>
      <c r="O25" t="str">
        <f t="shared" si="2"/>
        <v>{2,15}</v>
      </c>
      <c r="P25" t="str">
        <f t="shared" si="3"/>
        <v>{3,449}</v>
      </c>
      <c r="Q25" t="s">
        <v>454</v>
      </c>
      <c r="R25" t="s">
        <v>455</v>
      </c>
      <c r="S25" t="e">
        <f t="array" ref="S25">[2]!LKnum(N25:R25)</f>
        <v>#NAME?</v>
      </c>
    </row>
    <row r="26" spans="1:19">
      <c r="A26">
        <v>32008</v>
      </c>
      <c r="B26">
        <v>0</v>
      </c>
      <c r="C26">
        <v>301996361</v>
      </c>
      <c r="H26" t="s">
        <v>102</v>
      </c>
      <c r="I26">
        <f t="shared" si="0"/>
        <v>2</v>
      </c>
      <c r="K26" t="s">
        <v>96</v>
      </c>
      <c r="L26">
        <v>3</v>
      </c>
      <c r="N26" t="str">
        <f t="shared" si="1"/>
        <v>{1,113}</v>
      </c>
      <c r="O26" t="str">
        <f t="shared" si="2"/>
        <v>{2,17}</v>
      </c>
      <c r="P26" t="str">
        <f t="shared" si="3"/>
        <v>{3,451}</v>
      </c>
      <c r="Q26" t="s">
        <v>454</v>
      </c>
      <c r="R26" t="s">
        <v>455</v>
      </c>
      <c r="S26" t="e">
        <f t="array" ref="S26">[2]!LKnum(N26:R26)</f>
        <v>#NAME?</v>
      </c>
    </row>
    <row r="27" spans="1:19">
      <c r="A27">
        <v>32009</v>
      </c>
      <c r="B27">
        <v>0</v>
      </c>
      <c r="C27">
        <v>17039689</v>
      </c>
      <c r="H27" t="s">
        <v>105</v>
      </c>
      <c r="I27">
        <f t="shared" si="0"/>
        <v>1</v>
      </c>
      <c r="K27" t="s">
        <v>99</v>
      </c>
      <c r="L27">
        <v>1</v>
      </c>
      <c r="N27" t="str">
        <f t="shared" si="1"/>
        <v>{1,115}</v>
      </c>
      <c r="O27" t="str">
        <f t="shared" si="2"/>
        <v>{2,15}</v>
      </c>
      <c r="P27" t="str">
        <f t="shared" si="3"/>
        <v>{3,449}</v>
      </c>
      <c r="Q27" t="s">
        <v>454</v>
      </c>
      <c r="R27" t="s">
        <v>455</v>
      </c>
      <c r="S27" t="e">
        <f t="array" ref="S27">[2]!LKnum(N27:R27)</f>
        <v>#NAME?</v>
      </c>
    </row>
    <row r="28" spans="1:19">
      <c r="A28">
        <v>32010</v>
      </c>
      <c r="B28">
        <v>0</v>
      </c>
      <c r="C28">
        <v>268438085</v>
      </c>
      <c r="H28" t="s">
        <v>108</v>
      </c>
      <c r="I28">
        <f t="shared" si="0"/>
        <v>4</v>
      </c>
      <c r="K28" t="s">
        <v>102</v>
      </c>
      <c r="L28">
        <v>2</v>
      </c>
      <c r="N28" t="str">
        <f t="shared" si="1"/>
        <v>{1,116}</v>
      </c>
      <c r="O28" t="str">
        <f t="shared" si="2"/>
        <v>{2,14}</v>
      </c>
      <c r="P28" t="str">
        <f t="shared" si="3"/>
        <v>{3,448}</v>
      </c>
      <c r="Q28" t="s">
        <v>454</v>
      </c>
      <c r="R28" t="s">
        <v>455</v>
      </c>
      <c r="S28" t="e">
        <f t="array" ref="S28">[2]!LKnum(N28:R28)</f>
        <v>#NAME?</v>
      </c>
    </row>
    <row r="29" spans="1:19">
      <c r="A29">
        <v>32011</v>
      </c>
      <c r="B29">
        <v>0</v>
      </c>
      <c r="C29">
        <v>268437829</v>
      </c>
      <c r="H29" t="s">
        <v>112</v>
      </c>
      <c r="I29">
        <f t="shared" si="0"/>
        <v>1</v>
      </c>
      <c r="K29" t="s">
        <v>105</v>
      </c>
      <c r="L29">
        <v>1</v>
      </c>
      <c r="N29" t="str">
        <f t="shared" si="1"/>
        <v>{1,115}</v>
      </c>
      <c r="O29" t="str">
        <f t="shared" si="2"/>
        <v>{2,15}</v>
      </c>
      <c r="P29" t="str">
        <f t="shared" si="3"/>
        <v>{3,449}</v>
      </c>
      <c r="Q29" t="s">
        <v>454</v>
      </c>
      <c r="R29" t="s">
        <v>455</v>
      </c>
      <c r="S29" t="e">
        <f t="array" ref="S29">[2]!LKnum(N29:R29)</f>
        <v>#NAME?</v>
      </c>
    </row>
    <row r="30" spans="1:19">
      <c r="A30">
        <v>32012</v>
      </c>
      <c r="B30">
        <v>0</v>
      </c>
      <c r="C30">
        <v>268503365</v>
      </c>
      <c r="H30" t="s">
        <v>115</v>
      </c>
      <c r="I30">
        <f t="shared" si="0"/>
        <v>2</v>
      </c>
      <c r="K30" t="s">
        <v>108</v>
      </c>
      <c r="L30">
        <v>4</v>
      </c>
      <c r="N30" t="str">
        <f t="shared" si="1"/>
        <v>{1,113}</v>
      </c>
      <c r="O30" t="str">
        <f t="shared" si="2"/>
        <v>{2,17}</v>
      </c>
      <c r="P30" t="str">
        <f t="shared" si="3"/>
        <v>{3,451}</v>
      </c>
      <c r="Q30" t="s">
        <v>454</v>
      </c>
      <c r="R30" t="s">
        <v>455</v>
      </c>
      <c r="S30" t="e">
        <f t="array" ref="S30">[2]!LKnum(N30:R30)</f>
        <v>#NAME?</v>
      </c>
    </row>
    <row r="31" spans="1:19">
      <c r="A31">
        <v>32013</v>
      </c>
      <c r="B31">
        <v>0</v>
      </c>
      <c r="C31">
        <v>67637585</v>
      </c>
      <c r="H31" t="s">
        <v>117</v>
      </c>
      <c r="I31">
        <f t="shared" si="0"/>
        <v>2</v>
      </c>
      <c r="K31" t="s">
        <v>112</v>
      </c>
      <c r="L31">
        <v>1</v>
      </c>
      <c r="N31" t="str">
        <f t="shared" si="1"/>
        <v>{1,113}</v>
      </c>
      <c r="O31" t="str">
        <f t="shared" si="2"/>
        <v>{2,17}</v>
      </c>
      <c r="P31" t="str">
        <f t="shared" si="3"/>
        <v>{3,451}</v>
      </c>
      <c r="Q31" t="s">
        <v>454</v>
      </c>
      <c r="R31" t="s">
        <v>455</v>
      </c>
      <c r="S31" t="e">
        <f t="array" ref="S31">[2]!LKnum(N31:R31)</f>
        <v>#NAME?</v>
      </c>
    </row>
    <row r="32" spans="1:19">
      <c r="A32">
        <v>32015</v>
      </c>
      <c r="B32">
        <v>0</v>
      </c>
      <c r="C32">
        <v>67174729</v>
      </c>
      <c r="H32" t="s">
        <v>120</v>
      </c>
      <c r="I32">
        <f t="shared" si="0"/>
        <v>1</v>
      </c>
      <c r="K32" t="s">
        <v>115</v>
      </c>
      <c r="L32">
        <v>2</v>
      </c>
      <c r="N32" t="str">
        <f t="shared" si="1"/>
        <v>{1,115}</v>
      </c>
      <c r="O32" t="str">
        <f t="shared" si="2"/>
        <v>{2,15}</v>
      </c>
      <c r="P32" t="str">
        <f t="shared" si="3"/>
        <v>{3,449}</v>
      </c>
      <c r="Q32" t="s">
        <v>454</v>
      </c>
      <c r="R32" t="s">
        <v>455</v>
      </c>
      <c r="S32" t="e">
        <f t="array" ref="S32">[2]!LKnum(N32:R32)</f>
        <v>#NAME?</v>
      </c>
    </row>
    <row r="33" spans="1:19">
      <c r="A33">
        <v>32016</v>
      </c>
      <c r="B33">
        <v>0</v>
      </c>
      <c r="C33">
        <v>268437829</v>
      </c>
      <c r="H33" t="s">
        <v>122</v>
      </c>
      <c r="I33">
        <f t="shared" si="0"/>
        <v>1</v>
      </c>
      <c r="K33" t="s">
        <v>117</v>
      </c>
      <c r="L33">
        <v>2</v>
      </c>
      <c r="N33" t="str">
        <f t="shared" si="1"/>
        <v>{1,115}</v>
      </c>
      <c r="O33" t="str">
        <f t="shared" si="2"/>
        <v>{2,15}</v>
      </c>
      <c r="P33" t="str">
        <f t="shared" si="3"/>
        <v>{3,449}</v>
      </c>
      <c r="Q33" t="s">
        <v>454</v>
      </c>
      <c r="R33" t="s">
        <v>455</v>
      </c>
      <c r="S33" t="e">
        <f t="array" ref="S33">[2]!LKnum(N33:R33)</f>
        <v>#NAME?</v>
      </c>
    </row>
    <row r="34" spans="1:19">
      <c r="A34">
        <v>32017</v>
      </c>
      <c r="B34">
        <v>0</v>
      </c>
      <c r="C34">
        <v>268460611</v>
      </c>
      <c r="H34" t="s">
        <v>125</v>
      </c>
      <c r="I34">
        <f t="shared" si="0"/>
        <v>3</v>
      </c>
      <c r="K34" t="s">
        <v>228</v>
      </c>
      <c r="L34">
        <v>1</v>
      </c>
      <c r="N34" t="str">
        <f t="shared" si="1"/>
        <v>{1,114}</v>
      </c>
      <c r="O34" t="str">
        <f t="shared" si="2"/>
        <v>{2,16}</v>
      </c>
      <c r="P34" t="str">
        <f t="shared" si="3"/>
        <v>{3,450}</v>
      </c>
      <c r="Q34" t="s">
        <v>454</v>
      </c>
      <c r="R34" t="s">
        <v>455</v>
      </c>
      <c r="S34" t="e">
        <f t="array" ref="S34">[2]!LKnum(N34:R34)</f>
        <v>#NAME?</v>
      </c>
    </row>
    <row r="35" spans="1:19">
      <c r="A35">
        <v>33000</v>
      </c>
      <c r="B35">
        <v>0</v>
      </c>
      <c r="C35">
        <v>33817937</v>
      </c>
      <c r="H35" t="s">
        <v>128</v>
      </c>
      <c r="I35">
        <f t="shared" si="0"/>
        <v>2</v>
      </c>
      <c r="K35" t="s">
        <v>120</v>
      </c>
      <c r="L35">
        <v>1</v>
      </c>
      <c r="N35" t="str">
        <f t="shared" si="1"/>
        <v>{1,113}</v>
      </c>
      <c r="O35" t="str">
        <f t="shared" si="2"/>
        <v>{2,17}</v>
      </c>
      <c r="P35" t="str">
        <f t="shared" si="3"/>
        <v>{3,451}</v>
      </c>
      <c r="Q35" t="s">
        <v>454</v>
      </c>
      <c r="R35" t="s">
        <v>455</v>
      </c>
      <c r="S35" t="e">
        <f t="array" ref="S35">[2]!LKnum(N35:R35)</f>
        <v>#NAME?</v>
      </c>
    </row>
    <row r="36" spans="1:19">
      <c r="A36">
        <v>33001</v>
      </c>
      <c r="B36">
        <v>0</v>
      </c>
      <c r="C36">
        <v>33882449</v>
      </c>
      <c r="H36" t="s">
        <v>131</v>
      </c>
      <c r="I36">
        <f t="shared" si="0"/>
        <v>1</v>
      </c>
      <c r="K36" t="s">
        <v>122</v>
      </c>
      <c r="L36">
        <v>1</v>
      </c>
      <c r="N36" t="str">
        <f t="shared" si="1"/>
        <v>{1,115}</v>
      </c>
      <c r="O36" t="str">
        <f t="shared" si="2"/>
        <v>{2,15}</v>
      </c>
      <c r="P36" t="str">
        <f t="shared" si="3"/>
        <v>{3,449}</v>
      </c>
      <c r="Q36" t="s">
        <v>454</v>
      </c>
      <c r="R36" t="s">
        <v>455</v>
      </c>
      <c r="S36" t="e">
        <f t="array" ref="S36">[2]!LKnum(N36:R36)</f>
        <v>#NAME?</v>
      </c>
    </row>
    <row r="37" spans="1:19">
      <c r="A37">
        <v>33003</v>
      </c>
      <c r="B37">
        <v>0</v>
      </c>
      <c r="C37">
        <v>67634505</v>
      </c>
      <c r="H37" t="s">
        <v>134</v>
      </c>
      <c r="I37">
        <f t="shared" si="0"/>
        <v>1</v>
      </c>
      <c r="K37" t="s">
        <v>125</v>
      </c>
      <c r="L37">
        <v>3</v>
      </c>
      <c r="N37" t="str">
        <f t="shared" si="1"/>
        <v>{1,115}</v>
      </c>
      <c r="O37" t="str">
        <f t="shared" si="2"/>
        <v>{2,15}</v>
      </c>
      <c r="P37" t="str">
        <f t="shared" si="3"/>
        <v>{3,449}</v>
      </c>
      <c r="Q37" t="s">
        <v>454</v>
      </c>
      <c r="R37" t="s">
        <v>455</v>
      </c>
      <c r="S37" t="e">
        <f t="array" ref="S37">[2]!LKnum(N37:R37)</f>
        <v>#NAME?</v>
      </c>
    </row>
    <row r="38" spans="1:19">
      <c r="A38">
        <v>33004</v>
      </c>
      <c r="B38">
        <v>0</v>
      </c>
      <c r="C38">
        <v>67111497</v>
      </c>
      <c r="H38" t="s">
        <v>137</v>
      </c>
      <c r="I38">
        <f t="shared" si="0"/>
        <v>4</v>
      </c>
      <c r="K38" t="s">
        <v>305</v>
      </c>
      <c r="L38">
        <v>2</v>
      </c>
      <c r="N38" t="str">
        <f t="shared" si="1"/>
        <v>{1,116}</v>
      </c>
      <c r="O38" t="str">
        <f t="shared" si="2"/>
        <v>{2,14}</v>
      </c>
      <c r="P38" t="str">
        <f t="shared" si="3"/>
        <v>{3,448}</v>
      </c>
      <c r="Q38" t="s">
        <v>454</v>
      </c>
      <c r="R38" t="s">
        <v>455</v>
      </c>
      <c r="S38" t="e">
        <f t="array" ref="S38">[2]!LKnum(N38:R38)</f>
        <v>#NAME?</v>
      </c>
    </row>
    <row r="39" spans="1:19">
      <c r="A39">
        <v>33005</v>
      </c>
      <c r="B39">
        <v>0</v>
      </c>
      <c r="C39">
        <v>336134481</v>
      </c>
      <c r="H39" t="s">
        <v>140</v>
      </c>
      <c r="I39">
        <f t="shared" si="0"/>
        <v>1</v>
      </c>
      <c r="K39" t="s">
        <v>306</v>
      </c>
      <c r="L39">
        <v>1</v>
      </c>
      <c r="N39" t="str">
        <f t="shared" si="1"/>
        <v>{1,115}</v>
      </c>
      <c r="O39" t="str">
        <f t="shared" si="2"/>
        <v>{2,15}</v>
      </c>
      <c r="P39" t="str">
        <f t="shared" si="3"/>
        <v>{3,449}</v>
      </c>
      <c r="Q39" t="s">
        <v>454</v>
      </c>
      <c r="R39" t="s">
        <v>455</v>
      </c>
      <c r="S39" t="e">
        <f t="array" ref="S39">[2]!LKnum(N39:R39)</f>
        <v>#NAME?</v>
      </c>
    </row>
    <row r="40" spans="1:19">
      <c r="A40">
        <v>33006</v>
      </c>
      <c r="B40">
        <v>0</v>
      </c>
      <c r="C40">
        <v>16810313</v>
      </c>
      <c r="H40" t="s">
        <v>142</v>
      </c>
      <c r="I40">
        <f t="shared" si="0"/>
        <v>2</v>
      </c>
      <c r="K40" t="s">
        <v>128</v>
      </c>
      <c r="L40">
        <v>2</v>
      </c>
      <c r="N40" t="str">
        <f t="shared" si="1"/>
        <v>{1,113}</v>
      </c>
      <c r="O40" t="str">
        <f t="shared" si="2"/>
        <v>{2,17}</v>
      </c>
      <c r="P40" t="str">
        <f t="shared" si="3"/>
        <v>{3,451}</v>
      </c>
      <c r="Q40" t="s">
        <v>454</v>
      </c>
      <c r="R40" t="s">
        <v>455</v>
      </c>
      <c r="S40" t="e">
        <f t="array" ref="S40">[2]!LKnum(N40:R40)</f>
        <v>#NAME?</v>
      </c>
    </row>
    <row r="41" spans="1:19">
      <c r="A41">
        <v>33008</v>
      </c>
      <c r="B41">
        <v>0</v>
      </c>
      <c r="C41">
        <v>1073744451</v>
      </c>
      <c r="H41" t="s">
        <v>145</v>
      </c>
      <c r="I41">
        <f t="shared" si="0"/>
        <v>4</v>
      </c>
      <c r="K41" t="s">
        <v>131</v>
      </c>
      <c r="L41">
        <v>1</v>
      </c>
      <c r="N41" t="str">
        <f t="shared" si="1"/>
        <v>{1,116}</v>
      </c>
      <c r="O41" t="str">
        <f t="shared" si="2"/>
        <v>{2,14}</v>
      </c>
      <c r="P41" t="str">
        <f t="shared" si="3"/>
        <v>{3,448}</v>
      </c>
      <c r="Q41" t="s">
        <v>454</v>
      </c>
      <c r="R41" t="s">
        <v>455</v>
      </c>
      <c r="S41" t="e">
        <f t="array" ref="S41">[2]!LKnum(N41:R41)</f>
        <v>#NAME?</v>
      </c>
    </row>
    <row r="42" spans="1:19">
      <c r="A42">
        <v>33009</v>
      </c>
      <c r="B42">
        <v>0</v>
      </c>
      <c r="C42">
        <v>2147486275</v>
      </c>
      <c r="H42" t="s">
        <v>147</v>
      </c>
      <c r="I42">
        <f t="shared" si="0"/>
        <v>4</v>
      </c>
      <c r="K42" t="s">
        <v>307</v>
      </c>
      <c r="L42">
        <v>1</v>
      </c>
      <c r="N42" t="str">
        <f t="shared" si="1"/>
        <v>{1,116}</v>
      </c>
      <c r="O42" t="str">
        <f t="shared" si="2"/>
        <v>{2,14}</v>
      </c>
      <c r="P42" t="str">
        <f t="shared" si="3"/>
        <v>{3,448}</v>
      </c>
      <c r="Q42" t="s">
        <v>454</v>
      </c>
      <c r="R42" t="s">
        <v>455</v>
      </c>
      <c r="S42" t="e">
        <f t="array" ref="S42">[2]!LKnum(N42:R42)</f>
        <v>#NAME?</v>
      </c>
    </row>
    <row r="43" spans="1:19">
      <c r="A43">
        <v>33010</v>
      </c>
      <c r="B43">
        <v>0</v>
      </c>
      <c r="C43">
        <v>4294968645</v>
      </c>
      <c r="H43" t="s">
        <v>150</v>
      </c>
      <c r="I43">
        <f t="shared" si="0"/>
        <v>1</v>
      </c>
      <c r="K43" t="s">
        <v>134</v>
      </c>
      <c r="L43">
        <v>1</v>
      </c>
      <c r="N43" t="str">
        <f t="shared" si="1"/>
        <v>{1,115}</v>
      </c>
      <c r="O43" t="str">
        <f t="shared" si="2"/>
        <v>{2,15}</v>
      </c>
      <c r="P43" t="str">
        <f t="shared" si="3"/>
        <v>{3,449}</v>
      </c>
      <c r="Q43" t="s">
        <v>454</v>
      </c>
      <c r="R43" t="s">
        <v>455</v>
      </c>
      <c r="S43" t="e">
        <f t="array" ref="S43">[2]!LKnum(N43:R43)</f>
        <v>#NAME?</v>
      </c>
    </row>
    <row r="44" spans="1:19">
      <c r="A44">
        <v>33012</v>
      </c>
      <c r="B44">
        <v>0</v>
      </c>
      <c r="C44">
        <v>268703045</v>
      </c>
      <c r="H44" t="s">
        <v>154</v>
      </c>
      <c r="I44">
        <f t="shared" si="0"/>
        <v>2</v>
      </c>
      <c r="K44" t="s">
        <v>137</v>
      </c>
      <c r="L44">
        <v>4</v>
      </c>
      <c r="N44" t="str">
        <f t="shared" si="1"/>
        <v>{1,113}</v>
      </c>
      <c r="O44" t="str">
        <f t="shared" si="2"/>
        <v>{2,17}</v>
      </c>
      <c r="P44" t="str">
        <f t="shared" si="3"/>
        <v>{3,451}</v>
      </c>
      <c r="Q44" t="s">
        <v>454</v>
      </c>
      <c r="R44" t="s">
        <v>455</v>
      </c>
      <c r="S44" t="e">
        <f t="array" ref="S44">[2]!LKnum(N44:R44)</f>
        <v>#NAME?</v>
      </c>
    </row>
    <row r="45" spans="1:19">
      <c r="A45">
        <v>33013</v>
      </c>
      <c r="B45">
        <v>0</v>
      </c>
      <c r="C45">
        <v>268443971</v>
      </c>
      <c r="H45" t="s">
        <v>157</v>
      </c>
      <c r="I45">
        <f t="shared" si="0"/>
        <v>1</v>
      </c>
      <c r="K45" t="s">
        <v>140</v>
      </c>
      <c r="L45">
        <v>1</v>
      </c>
      <c r="N45" t="str">
        <f t="shared" si="1"/>
        <v>{1,115}</v>
      </c>
      <c r="O45" t="str">
        <f t="shared" si="2"/>
        <v>{2,15}</v>
      </c>
      <c r="P45" t="str">
        <f t="shared" si="3"/>
        <v>{3,449}</v>
      </c>
      <c r="Q45" t="s">
        <v>454</v>
      </c>
      <c r="R45" t="s">
        <v>455</v>
      </c>
      <c r="S45" t="e">
        <f t="array" ref="S45">[2]!LKnum(N45:R45)</f>
        <v>#NAME?</v>
      </c>
    </row>
    <row r="46" spans="1:19">
      <c r="A46">
        <v>33015</v>
      </c>
      <c r="B46">
        <v>0</v>
      </c>
      <c r="C46">
        <v>269488451</v>
      </c>
      <c r="H46" t="s">
        <v>159</v>
      </c>
      <c r="I46">
        <f t="shared" si="0"/>
        <v>2</v>
      </c>
      <c r="K46" t="s">
        <v>142</v>
      </c>
      <c r="L46">
        <v>2</v>
      </c>
      <c r="N46" t="str">
        <f t="shared" si="1"/>
        <v>{1,113}</v>
      </c>
      <c r="O46" t="str">
        <f t="shared" si="2"/>
        <v>{2,17}</v>
      </c>
      <c r="P46" t="str">
        <f t="shared" si="3"/>
        <v>{3,451}</v>
      </c>
      <c r="Q46" t="s">
        <v>454</v>
      </c>
      <c r="R46" t="s">
        <v>455</v>
      </c>
      <c r="S46" t="e">
        <f t="array" ref="S46">[2]!LKnum(N46:R46)</f>
        <v>#NAME?</v>
      </c>
    </row>
    <row r="47" spans="1:19">
      <c r="A47">
        <v>33016</v>
      </c>
      <c r="B47">
        <v>0</v>
      </c>
      <c r="C47">
        <v>268437061</v>
      </c>
      <c r="H47" t="s">
        <v>161</v>
      </c>
      <c r="I47">
        <f t="shared" si="0"/>
        <v>4</v>
      </c>
      <c r="K47" t="s">
        <v>308</v>
      </c>
      <c r="L47">
        <v>3</v>
      </c>
      <c r="N47" t="str">
        <f t="shared" si="1"/>
        <v>{1,116}</v>
      </c>
      <c r="O47" t="str">
        <f t="shared" si="2"/>
        <v>{2,14}</v>
      </c>
      <c r="P47" t="str">
        <f t="shared" si="3"/>
        <v>{3,448}</v>
      </c>
      <c r="Q47" t="s">
        <v>454</v>
      </c>
      <c r="R47" t="s">
        <v>455</v>
      </c>
      <c r="S47" t="e">
        <f t="array" ref="S47">[2]!LKnum(N47:R47)</f>
        <v>#NAME?</v>
      </c>
    </row>
    <row r="48" spans="1:19">
      <c r="A48">
        <v>33017</v>
      </c>
      <c r="B48">
        <v>0</v>
      </c>
      <c r="C48">
        <v>268437061</v>
      </c>
      <c r="H48" t="s">
        <v>163</v>
      </c>
      <c r="I48">
        <f t="shared" si="0"/>
        <v>4</v>
      </c>
      <c r="K48" t="s">
        <v>145</v>
      </c>
      <c r="L48">
        <v>4</v>
      </c>
      <c r="N48" t="str">
        <f t="shared" si="1"/>
        <v>{1,116}</v>
      </c>
      <c r="O48" t="str">
        <f t="shared" si="2"/>
        <v>{2,14}</v>
      </c>
      <c r="P48" t="str">
        <f t="shared" si="3"/>
        <v>{3,448}</v>
      </c>
      <c r="Q48" t="s">
        <v>454</v>
      </c>
      <c r="R48" t="s">
        <v>455</v>
      </c>
      <c r="S48" t="e">
        <f t="array" ref="S48">[2]!LKnum(N48:R48)</f>
        <v>#NAME?</v>
      </c>
    </row>
    <row r="49" spans="1:19">
      <c r="A49">
        <v>33018</v>
      </c>
      <c r="B49">
        <v>0</v>
      </c>
      <c r="C49">
        <v>33556049</v>
      </c>
      <c r="H49" t="s">
        <v>166</v>
      </c>
      <c r="I49">
        <f t="shared" si="0"/>
        <v>4</v>
      </c>
      <c r="K49" t="s">
        <v>147</v>
      </c>
      <c r="L49">
        <v>4</v>
      </c>
      <c r="N49" t="str">
        <f t="shared" si="1"/>
        <v>{1,116}</v>
      </c>
      <c r="O49" t="str">
        <f t="shared" si="2"/>
        <v>{2,14}</v>
      </c>
      <c r="P49" t="str">
        <f t="shared" si="3"/>
        <v>{3,448}</v>
      </c>
      <c r="Q49" t="s">
        <v>454</v>
      </c>
      <c r="R49" t="s">
        <v>455</v>
      </c>
      <c r="S49" t="e">
        <f t="array" ref="S49">[2]!LKnum(N49:R49)</f>
        <v>#NAME?</v>
      </c>
    </row>
    <row r="50" spans="1:19">
      <c r="A50">
        <v>33019</v>
      </c>
      <c r="B50">
        <v>0</v>
      </c>
      <c r="C50">
        <v>286265669</v>
      </c>
      <c r="H50" t="s">
        <v>169</v>
      </c>
      <c r="I50">
        <f t="shared" si="0"/>
        <v>2</v>
      </c>
      <c r="K50" t="s">
        <v>150</v>
      </c>
      <c r="L50">
        <v>1</v>
      </c>
      <c r="N50" t="str">
        <f t="shared" si="1"/>
        <v>{1,113}</v>
      </c>
      <c r="O50" t="str">
        <f t="shared" si="2"/>
        <v>{2,17}</v>
      </c>
      <c r="P50" t="str">
        <f t="shared" si="3"/>
        <v>{3,451}</v>
      </c>
      <c r="Q50" t="s">
        <v>454</v>
      </c>
      <c r="R50" t="s">
        <v>455</v>
      </c>
      <c r="S50" t="e">
        <f t="array" ref="S50">[2]!LKnum(N50:R50)</f>
        <v>#NAME?</v>
      </c>
    </row>
    <row r="51" spans="1:19">
      <c r="A51">
        <v>33020</v>
      </c>
      <c r="B51">
        <v>0</v>
      </c>
      <c r="C51">
        <v>33653073</v>
      </c>
      <c r="H51" t="s">
        <v>311</v>
      </c>
      <c r="I51">
        <f t="shared" si="0"/>
        <v>2</v>
      </c>
      <c r="K51" t="s">
        <v>309</v>
      </c>
      <c r="L51">
        <v>2</v>
      </c>
      <c r="N51" t="str">
        <f t="shared" si="1"/>
        <v>{1,113}</v>
      </c>
      <c r="O51" t="str">
        <f t="shared" si="2"/>
        <v>{2,17}</v>
      </c>
      <c r="P51" t="str">
        <f t="shared" si="3"/>
        <v>{3,451}</v>
      </c>
      <c r="Q51" t="s">
        <v>454</v>
      </c>
      <c r="R51" t="s">
        <v>455</v>
      </c>
      <c r="S51" t="e">
        <f t="array" ref="S51">[2]!LKnum(N51:R51)</f>
        <v>#NAME?</v>
      </c>
    </row>
    <row r="52" spans="1:19">
      <c r="A52">
        <v>33021</v>
      </c>
      <c r="B52">
        <v>0</v>
      </c>
      <c r="C52">
        <v>16778825</v>
      </c>
      <c r="H52" t="s">
        <v>171</v>
      </c>
      <c r="I52">
        <f t="shared" si="0"/>
        <v>4</v>
      </c>
      <c r="K52" t="s">
        <v>154</v>
      </c>
      <c r="L52">
        <v>2</v>
      </c>
      <c r="N52" t="str">
        <f t="shared" si="1"/>
        <v>{1,116}</v>
      </c>
      <c r="O52" t="str">
        <f t="shared" si="2"/>
        <v>{2,14}</v>
      </c>
      <c r="P52" t="str">
        <f t="shared" si="3"/>
        <v>{3,448}</v>
      </c>
      <c r="Q52" t="s">
        <v>454</v>
      </c>
      <c r="R52" t="s">
        <v>455</v>
      </c>
      <c r="S52" t="e">
        <f t="array" ref="S52">[2]!LKnum(N52:R52)</f>
        <v>#NAME?</v>
      </c>
    </row>
    <row r="53" spans="1:19">
      <c r="A53">
        <v>34000</v>
      </c>
      <c r="B53">
        <v>0</v>
      </c>
      <c r="C53">
        <v>34081169</v>
      </c>
      <c r="H53" t="s">
        <v>173</v>
      </c>
      <c r="I53">
        <f t="shared" si="0"/>
        <v>1</v>
      </c>
      <c r="K53" t="s">
        <v>157</v>
      </c>
      <c r="L53">
        <v>1</v>
      </c>
      <c r="N53" t="str">
        <f t="shared" si="1"/>
        <v>{1,115}</v>
      </c>
      <c r="O53" t="str">
        <f t="shared" si="2"/>
        <v>{2,15}</v>
      </c>
      <c r="P53" t="str">
        <f t="shared" si="3"/>
        <v>{3,449}</v>
      </c>
      <c r="Q53" t="s">
        <v>454</v>
      </c>
      <c r="R53" t="s">
        <v>455</v>
      </c>
      <c r="S53" t="e">
        <f t="array" ref="S53">[2]!LKnum(N53:R53)</f>
        <v>#NAME?</v>
      </c>
    </row>
    <row r="54" spans="1:19">
      <c r="A54">
        <v>34001</v>
      </c>
      <c r="B54">
        <v>0</v>
      </c>
      <c r="C54">
        <v>34145937</v>
      </c>
      <c r="H54" t="s">
        <v>176</v>
      </c>
      <c r="I54">
        <f t="shared" si="0"/>
        <v>1</v>
      </c>
      <c r="K54" t="s">
        <v>310</v>
      </c>
      <c r="L54">
        <v>3</v>
      </c>
      <c r="N54" t="str">
        <f t="shared" si="1"/>
        <v>{1,115}</v>
      </c>
      <c r="O54" t="str">
        <f t="shared" si="2"/>
        <v>{2,15}</v>
      </c>
      <c r="P54" t="str">
        <f t="shared" si="3"/>
        <v>{3,449}</v>
      </c>
      <c r="Q54" t="s">
        <v>454</v>
      </c>
      <c r="R54" t="s">
        <v>455</v>
      </c>
      <c r="S54" t="e">
        <f t="array" ref="S54">[2]!LKnum(N54:R54)</f>
        <v>#NAME?</v>
      </c>
    </row>
    <row r="55" spans="1:19">
      <c r="A55">
        <v>34002</v>
      </c>
      <c r="B55">
        <v>0</v>
      </c>
      <c r="C55">
        <v>34081169</v>
      </c>
      <c r="H55" t="s">
        <v>179</v>
      </c>
      <c r="I55">
        <f t="shared" si="0"/>
        <v>2</v>
      </c>
      <c r="K55" t="s">
        <v>159</v>
      </c>
      <c r="L55">
        <v>2</v>
      </c>
      <c r="N55" t="str">
        <f t="shared" si="1"/>
        <v>{1,113}</v>
      </c>
      <c r="O55" t="str">
        <f t="shared" si="2"/>
        <v>{2,17}</v>
      </c>
      <c r="P55" t="str">
        <f t="shared" si="3"/>
        <v>{3,451}</v>
      </c>
      <c r="Q55" t="s">
        <v>454</v>
      </c>
      <c r="R55" t="s">
        <v>455</v>
      </c>
      <c r="S55" t="e">
        <f t="array" ref="S55">[2]!LKnum(N55:R55)</f>
        <v>#NAME?</v>
      </c>
    </row>
    <row r="56" spans="1:19">
      <c r="A56">
        <v>34004</v>
      </c>
      <c r="B56">
        <v>0</v>
      </c>
      <c r="C56">
        <v>39846289</v>
      </c>
      <c r="H56" t="s">
        <v>181</v>
      </c>
      <c r="I56">
        <f t="shared" si="0"/>
        <v>2</v>
      </c>
      <c r="K56" t="s">
        <v>161</v>
      </c>
      <c r="L56">
        <v>4</v>
      </c>
      <c r="N56" t="str">
        <f t="shared" si="1"/>
        <v>{1,113}</v>
      </c>
      <c r="O56" t="str">
        <f t="shared" si="2"/>
        <v>{2,17}</v>
      </c>
      <c r="P56" t="str">
        <f t="shared" si="3"/>
        <v>{3,451}</v>
      </c>
      <c r="Q56" t="s">
        <v>454</v>
      </c>
      <c r="R56" t="s">
        <v>455</v>
      </c>
      <c r="S56" t="e">
        <f t="array" ref="S56">[2]!LKnum(N56:R56)</f>
        <v>#NAME?</v>
      </c>
    </row>
    <row r="57" spans="1:19">
      <c r="A57">
        <v>34005</v>
      </c>
      <c r="B57">
        <v>0</v>
      </c>
      <c r="C57">
        <v>17139337</v>
      </c>
      <c r="H57" t="s">
        <v>183</v>
      </c>
      <c r="I57">
        <f t="shared" si="0"/>
        <v>4</v>
      </c>
      <c r="K57" t="s">
        <v>163</v>
      </c>
      <c r="L57">
        <v>4</v>
      </c>
      <c r="N57" t="str">
        <f t="shared" si="1"/>
        <v>{1,116}</v>
      </c>
      <c r="O57" t="str">
        <f t="shared" si="2"/>
        <v>{2,14}</v>
      </c>
      <c r="P57" t="str">
        <f t="shared" si="3"/>
        <v>{3,448}</v>
      </c>
      <c r="Q57" t="s">
        <v>454</v>
      </c>
      <c r="R57" t="s">
        <v>455</v>
      </c>
      <c r="S57" t="e">
        <f t="array" ref="S57">[2]!LKnum(N57:R57)</f>
        <v>#NAME?</v>
      </c>
    </row>
    <row r="58" spans="1:19">
      <c r="A58">
        <v>34006</v>
      </c>
      <c r="B58">
        <v>0</v>
      </c>
      <c r="C58">
        <v>17041033</v>
      </c>
      <c r="H58" t="s">
        <v>186</v>
      </c>
      <c r="I58">
        <f t="shared" si="0"/>
        <v>4</v>
      </c>
      <c r="K58" t="s">
        <v>166</v>
      </c>
      <c r="L58">
        <v>4</v>
      </c>
      <c r="N58" t="str">
        <f t="shared" si="1"/>
        <v>{1,116}</v>
      </c>
      <c r="O58" t="str">
        <f t="shared" si="2"/>
        <v>{2,14}</v>
      </c>
      <c r="P58" t="str">
        <f t="shared" si="3"/>
        <v>{3,448}</v>
      </c>
      <c r="Q58" t="s">
        <v>454</v>
      </c>
      <c r="R58" t="s">
        <v>455</v>
      </c>
      <c r="S58" t="e">
        <f t="array" ref="S58">[2]!LKnum(N58:R58)</f>
        <v>#NAME?</v>
      </c>
    </row>
    <row r="59" spans="1:19">
      <c r="A59">
        <v>34007</v>
      </c>
      <c r="B59">
        <v>0</v>
      </c>
      <c r="C59">
        <v>17044873</v>
      </c>
      <c r="H59" t="s">
        <v>189</v>
      </c>
      <c r="I59">
        <f t="shared" si="0"/>
        <v>2</v>
      </c>
      <c r="K59" t="s">
        <v>169</v>
      </c>
      <c r="L59">
        <v>2</v>
      </c>
      <c r="N59" t="str">
        <f t="shared" si="1"/>
        <v>{1,113}</v>
      </c>
      <c r="O59" t="str">
        <f t="shared" si="2"/>
        <v>{2,17}</v>
      </c>
      <c r="P59" t="str">
        <f t="shared" si="3"/>
        <v>{3,451}</v>
      </c>
      <c r="Q59" t="s">
        <v>454</v>
      </c>
      <c r="R59" t="s">
        <v>455</v>
      </c>
      <c r="S59" t="e">
        <f t="array" ref="S59">[2]!LKnum(N59:R59)</f>
        <v>#NAME?</v>
      </c>
    </row>
    <row r="60" spans="1:19">
      <c r="A60">
        <v>34009</v>
      </c>
      <c r="B60">
        <v>0</v>
      </c>
      <c r="C60">
        <v>50595473</v>
      </c>
      <c r="H60" t="s">
        <v>191</v>
      </c>
      <c r="I60">
        <f t="shared" si="0"/>
        <v>4</v>
      </c>
      <c r="K60" t="s">
        <v>311</v>
      </c>
      <c r="L60">
        <v>2</v>
      </c>
      <c r="N60" t="str">
        <f t="shared" si="1"/>
        <v>{1,116}</v>
      </c>
      <c r="O60" t="str">
        <f t="shared" si="2"/>
        <v>{2,14}</v>
      </c>
      <c r="P60" t="str">
        <f t="shared" si="3"/>
        <v>{3,448}</v>
      </c>
      <c r="Q60" t="s">
        <v>454</v>
      </c>
      <c r="R60" t="s">
        <v>455</v>
      </c>
      <c r="S60" t="e">
        <f t="array" ref="S60">[2]!LKnum(N60:R60)</f>
        <v>#NAME?</v>
      </c>
    </row>
    <row r="61" spans="1:19">
      <c r="A61">
        <v>34012</v>
      </c>
      <c r="B61">
        <v>0</v>
      </c>
      <c r="C61">
        <v>268699017</v>
      </c>
      <c r="H61" t="s">
        <v>194</v>
      </c>
      <c r="I61">
        <f t="shared" si="0"/>
        <v>1</v>
      </c>
      <c r="K61" t="s">
        <v>171</v>
      </c>
      <c r="L61">
        <v>4</v>
      </c>
      <c r="N61" t="str">
        <f t="shared" si="1"/>
        <v>{1,115}</v>
      </c>
      <c r="O61" t="str">
        <f t="shared" si="2"/>
        <v>{2,15}</v>
      </c>
      <c r="P61" t="str">
        <f t="shared" si="3"/>
        <v>{3,449}</v>
      </c>
      <c r="Q61" t="s">
        <v>454</v>
      </c>
      <c r="R61" t="s">
        <v>455</v>
      </c>
      <c r="S61" t="e">
        <f t="array" ref="S61">[2]!LKnum(N61:R61)</f>
        <v>#NAME?</v>
      </c>
    </row>
    <row r="62" spans="1:19">
      <c r="A62">
        <v>34014</v>
      </c>
      <c r="B62">
        <v>0</v>
      </c>
      <c r="C62">
        <v>268996997</v>
      </c>
      <c r="H62" t="s">
        <v>196</v>
      </c>
      <c r="I62">
        <f t="shared" si="0"/>
        <v>1</v>
      </c>
      <c r="K62" t="s">
        <v>173</v>
      </c>
      <c r="L62">
        <v>1</v>
      </c>
      <c r="N62" t="str">
        <f t="shared" si="1"/>
        <v>{1,115}</v>
      </c>
      <c r="O62" t="str">
        <f t="shared" si="2"/>
        <v>{2,15}</v>
      </c>
      <c r="P62" t="str">
        <f t="shared" si="3"/>
        <v>{3,449}</v>
      </c>
      <c r="Q62" t="s">
        <v>454</v>
      </c>
      <c r="R62" t="s">
        <v>455</v>
      </c>
      <c r="S62" t="e">
        <f t="array" ref="S62">[2]!LKnum(N62:R62)</f>
        <v>#NAME?</v>
      </c>
    </row>
    <row r="63" spans="1:19">
      <c r="A63">
        <v>34015</v>
      </c>
      <c r="B63">
        <v>0</v>
      </c>
      <c r="C63">
        <v>268699269</v>
      </c>
      <c r="H63" t="s">
        <v>198</v>
      </c>
      <c r="I63">
        <f t="shared" si="0"/>
        <v>4</v>
      </c>
      <c r="K63" t="s">
        <v>176</v>
      </c>
      <c r="L63">
        <v>1</v>
      </c>
      <c r="N63" t="str">
        <f t="shared" si="1"/>
        <v>{1,116}</v>
      </c>
      <c r="O63" t="str">
        <f t="shared" si="2"/>
        <v>{2,14}</v>
      </c>
      <c r="P63" t="str">
        <f t="shared" si="3"/>
        <v>{3,448}</v>
      </c>
      <c r="Q63" t="s">
        <v>454</v>
      </c>
      <c r="R63" t="s">
        <v>455</v>
      </c>
      <c r="S63" t="e">
        <f t="array" ref="S63">[2]!LKnum(N63:R63)</f>
        <v>#NAME?</v>
      </c>
    </row>
    <row r="64" spans="1:19">
      <c r="A64">
        <v>34016</v>
      </c>
      <c r="B64">
        <v>0</v>
      </c>
      <c r="C64">
        <v>33560201</v>
      </c>
      <c r="H64" t="s">
        <v>200</v>
      </c>
      <c r="I64">
        <f t="shared" si="0"/>
        <v>1</v>
      </c>
      <c r="K64" t="s">
        <v>179</v>
      </c>
      <c r="L64">
        <v>2</v>
      </c>
      <c r="N64" t="str">
        <f t="shared" si="1"/>
        <v>{1,115}</v>
      </c>
      <c r="O64" t="str">
        <f t="shared" si="2"/>
        <v>{2,15}</v>
      </c>
      <c r="P64" t="str">
        <f t="shared" si="3"/>
        <v>{3,449}</v>
      </c>
      <c r="Q64" t="s">
        <v>454</v>
      </c>
      <c r="R64" t="s">
        <v>455</v>
      </c>
      <c r="S64" t="e">
        <f t="array" ref="S64">[2]!LKnum(N64:R64)</f>
        <v>#NAME?</v>
      </c>
    </row>
    <row r="65" spans="1:19">
      <c r="A65">
        <v>34017</v>
      </c>
      <c r="B65">
        <v>0</v>
      </c>
      <c r="C65">
        <v>268437125</v>
      </c>
      <c r="H65" t="s">
        <v>202</v>
      </c>
      <c r="I65">
        <f t="shared" si="0"/>
        <v>4</v>
      </c>
      <c r="K65" t="s">
        <v>312</v>
      </c>
      <c r="L65">
        <v>2</v>
      </c>
      <c r="N65" t="str">
        <f t="shared" si="1"/>
        <v>{1,116}</v>
      </c>
      <c r="O65" t="str">
        <f t="shared" si="2"/>
        <v>{2,14}</v>
      </c>
      <c r="P65" t="str">
        <f t="shared" si="3"/>
        <v>{3,448}</v>
      </c>
      <c r="Q65" t="s">
        <v>454</v>
      </c>
      <c r="R65" t="s">
        <v>455</v>
      </c>
      <c r="S65" t="e">
        <f t="array" ref="S65">[2]!LKnum(N65:R65)</f>
        <v>#NAME?</v>
      </c>
    </row>
    <row r="66" spans="1:19">
      <c r="A66">
        <v>34018</v>
      </c>
      <c r="B66">
        <v>0</v>
      </c>
      <c r="C66">
        <v>67765641</v>
      </c>
      <c r="H66" t="s">
        <v>204</v>
      </c>
      <c r="I66">
        <f t="shared" si="0"/>
        <v>1</v>
      </c>
      <c r="K66" t="s">
        <v>181</v>
      </c>
      <c r="L66">
        <v>2</v>
      </c>
      <c r="N66" t="str">
        <f t="shared" si="1"/>
        <v>{1,115}</v>
      </c>
      <c r="O66" t="str">
        <f t="shared" si="2"/>
        <v>{2,15}</v>
      </c>
      <c r="P66" t="str">
        <f t="shared" si="3"/>
        <v>{3,449}</v>
      </c>
      <c r="Q66" t="s">
        <v>454</v>
      </c>
      <c r="R66" t="s">
        <v>455</v>
      </c>
      <c r="S66" t="e">
        <f t="array" ref="S66">[2]!LKnum(N66:R66)</f>
        <v>#NAME?</v>
      </c>
    </row>
    <row r="67" spans="1:19">
      <c r="A67">
        <v>34019</v>
      </c>
      <c r="B67">
        <v>0</v>
      </c>
      <c r="C67">
        <v>67111305</v>
      </c>
      <c r="H67" t="s">
        <v>207</v>
      </c>
      <c r="I67">
        <f t="shared" ref="I67:I130" si="4">VLOOKUP(H67,$K$2:$L$102,2,0)</f>
        <v>1</v>
      </c>
      <c r="K67" t="s">
        <v>183</v>
      </c>
      <c r="L67">
        <v>4</v>
      </c>
      <c r="N67" t="str">
        <f t="shared" ref="N67:N130" si="5">VLOOKUP(I67,$C$88:$F$91,2,0)</f>
        <v>{1,115}</v>
      </c>
      <c r="O67" t="str">
        <f t="shared" ref="O67:O130" si="6">VLOOKUP(I67,$C$88:$F$91,3,0)</f>
        <v>{2,15}</v>
      </c>
      <c r="P67" t="str">
        <f t="shared" ref="P67:P130" si="7">VLOOKUP(I67,$C$88:$F$91,4,0)</f>
        <v>{3,449}</v>
      </c>
      <c r="Q67" t="s">
        <v>454</v>
      </c>
      <c r="R67" t="s">
        <v>455</v>
      </c>
      <c r="S67" t="e">
        <f t="array" ref="S67">[2]!LKnum(N67:R67)</f>
        <v>#NAME?</v>
      </c>
    </row>
    <row r="68" spans="1:19">
      <c r="A68">
        <v>34021</v>
      </c>
      <c r="B68">
        <v>0</v>
      </c>
      <c r="C68">
        <v>67634825</v>
      </c>
      <c r="H68" t="s">
        <v>210</v>
      </c>
      <c r="I68">
        <f t="shared" si="4"/>
        <v>4</v>
      </c>
      <c r="K68" t="s">
        <v>186</v>
      </c>
      <c r="L68">
        <v>4</v>
      </c>
      <c r="N68" t="str">
        <f t="shared" si="5"/>
        <v>{1,116}</v>
      </c>
      <c r="O68" t="str">
        <f t="shared" si="6"/>
        <v>{2,14}</v>
      </c>
      <c r="P68" t="str">
        <f t="shared" si="7"/>
        <v>{3,448}</v>
      </c>
      <c r="Q68" t="s">
        <v>454</v>
      </c>
      <c r="R68" t="s">
        <v>455</v>
      </c>
      <c r="S68" t="e">
        <f t="array" ref="S68">[2]!LKnum(N68:R68)</f>
        <v>#NAME?</v>
      </c>
    </row>
    <row r="69" spans="1:19">
      <c r="A69">
        <v>34022</v>
      </c>
      <c r="B69">
        <v>0</v>
      </c>
      <c r="C69">
        <v>268730757</v>
      </c>
      <c r="H69" t="s">
        <v>213</v>
      </c>
      <c r="I69">
        <f t="shared" si="4"/>
        <v>2</v>
      </c>
      <c r="K69" t="s">
        <v>189</v>
      </c>
      <c r="L69">
        <v>2</v>
      </c>
      <c r="N69" t="str">
        <f t="shared" si="5"/>
        <v>{1,113}</v>
      </c>
      <c r="O69" t="str">
        <f t="shared" si="6"/>
        <v>{2,17}</v>
      </c>
      <c r="P69" t="str">
        <f t="shared" si="7"/>
        <v>{3,451}</v>
      </c>
      <c r="Q69" t="s">
        <v>454</v>
      </c>
      <c r="R69" t="s">
        <v>455</v>
      </c>
      <c r="S69" t="e">
        <f t="array" ref="S69">[2]!LKnum(N69:R69)</f>
        <v>#NAME?</v>
      </c>
    </row>
    <row r="70" spans="1:19">
      <c r="A70">
        <v>34023</v>
      </c>
      <c r="B70">
        <v>0</v>
      </c>
      <c r="C70">
        <v>69207697</v>
      </c>
      <c r="H70" t="s">
        <v>215</v>
      </c>
      <c r="I70">
        <f t="shared" si="4"/>
        <v>4</v>
      </c>
      <c r="K70" t="s">
        <v>313</v>
      </c>
      <c r="L70">
        <v>2</v>
      </c>
      <c r="N70" t="str">
        <f t="shared" si="5"/>
        <v>{1,116}</v>
      </c>
      <c r="O70" t="str">
        <f t="shared" si="6"/>
        <v>{2,14}</v>
      </c>
      <c r="P70" t="str">
        <f t="shared" si="7"/>
        <v>{3,448}</v>
      </c>
      <c r="Q70" t="s">
        <v>454</v>
      </c>
      <c r="R70" t="s">
        <v>455</v>
      </c>
      <c r="S70" t="e">
        <f t="array" ref="S70">[2]!LKnum(N70:R70)</f>
        <v>#NAME?</v>
      </c>
    </row>
    <row r="71" spans="1:19">
      <c r="A71">
        <v>34024</v>
      </c>
      <c r="B71">
        <v>0</v>
      </c>
      <c r="C71">
        <v>100730257</v>
      </c>
      <c r="H71" t="s">
        <v>219</v>
      </c>
      <c r="I71">
        <f t="shared" si="4"/>
        <v>1</v>
      </c>
      <c r="K71" t="s">
        <v>191</v>
      </c>
      <c r="L71">
        <v>4</v>
      </c>
      <c r="N71" t="str">
        <f t="shared" si="5"/>
        <v>{1,115}</v>
      </c>
      <c r="O71" t="str">
        <f t="shared" si="6"/>
        <v>{2,15}</v>
      </c>
      <c r="P71" t="str">
        <f t="shared" si="7"/>
        <v>{3,449}</v>
      </c>
      <c r="Q71" t="s">
        <v>454</v>
      </c>
      <c r="R71" t="s">
        <v>455</v>
      </c>
      <c r="S71" t="e">
        <f t="array" ref="S71">[2]!LKnum(N71:R71)</f>
        <v>#NAME?</v>
      </c>
    </row>
    <row r="72" spans="1:19">
      <c r="A72">
        <v>34025</v>
      </c>
      <c r="B72">
        <v>0</v>
      </c>
      <c r="C72">
        <v>71565705</v>
      </c>
      <c r="H72" t="s">
        <v>222</v>
      </c>
      <c r="I72">
        <f t="shared" si="4"/>
        <v>1</v>
      </c>
      <c r="K72" t="s">
        <v>314</v>
      </c>
      <c r="L72">
        <v>4</v>
      </c>
      <c r="N72" t="str">
        <f t="shared" si="5"/>
        <v>{1,115}</v>
      </c>
      <c r="O72" t="str">
        <f t="shared" si="6"/>
        <v>{2,15}</v>
      </c>
      <c r="P72" t="str">
        <f t="shared" si="7"/>
        <v>{3,449}</v>
      </c>
      <c r="Q72" t="s">
        <v>454</v>
      </c>
      <c r="R72" t="s">
        <v>455</v>
      </c>
      <c r="S72" t="e">
        <f t="array" ref="S72">[2]!LKnum(N72:R72)</f>
        <v>#NAME?</v>
      </c>
    </row>
    <row r="73" spans="1:19">
      <c r="A73">
        <v>34026</v>
      </c>
      <c r="B73">
        <v>0</v>
      </c>
      <c r="C73">
        <v>67111305</v>
      </c>
      <c r="H73" t="s">
        <v>226</v>
      </c>
      <c r="I73">
        <f t="shared" si="4"/>
        <v>1</v>
      </c>
      <c r="K73" t="s">
        <v>315</v>
      </c>
      <c r="L73">
        <v>2</v>
      </c>
      <c r="N73" t="str">
        <f t="shared" si="5"/>
        <v>{1,115}</v>
      </c>
      <c r="O73" t="str">
        <f t="shared" si="6"/>
        <v>{2,15}</v>
      </c>
      <c r="P73" t="str">
        <f t="shared" si="7"/>
        <v>{3,449}</v>
      </c>
      <c r="Q73" t="s">
        <v>454</v>
      </c>
      <c r="R73" t="s">
        <v>455</v>
      </c>
      <c r="S73" t="e">
        <f t="array" ref="S73">[2]!LKnum(N73:R73)</f>
        <v>#NAME?</v>
      </c>
    </row>
    <row r="74" spans="1:19">
      <c r="A74">
        <v>34027</v>
      </c>
      <c r="B74">
        <v>0</v>
      </c>
      <c r="C74">
        <v>67114373</v>
      </c>
      <c r="H74" t="s">
        <v>319</v>
      </c>
      <c r="I74">
        <f t="shared" si="4"/>
        <v>2</v>
      </c>
      <c r="K74" t="s">
        <v>194</v>
      </c>
      <c r="L74">
        <v>1</v>
      </c>
      <c r="N74" t="str">
        <f t="shared" si="5"/>
        <v>{1,113}</v>
      </c>
      <c r="O74" t="str">
        <f t="shared" si="6"/>
        <v>{2,17}</v>
      </c>
      <c r="P74" t="str">
        <f t="shared" si="7"/>
        <v>{3,451}</v>
      </c>
      <c r="Q74" t="s">
        <v>454</v>
      </c>
      <c r="R74" t="s">
        <v>455</v>
      </c>
      <c r="S74" t="e">
        <f t="array" ref="S74">[2]!LKnum(N74:R74)</f>
        <v>#NAME?</v>
      </c>
    </row>
    <row r="75" spans="1:19">
      <c r="A75">
        <v>34028</v>
      </c>
      <c r="B75">
        <v>0</v>
      </c>
      <c r="C75">
        <v>537137539</v>
      </c>
      <c r="H75" t="s">
        <v>231</v>
      </c>
      <c r="I75">
        <f t="shared" si="4"/>
        <v>2</v>
      </c>
      <c r="K75" t="s">
        <v>316</v>
      </c>
      <c r="L75">
        <v>4</v>
      </c>
      <c r="N75" t="str">
        <f t="shared" si="5"/>
        <v>{1,113}</v>
      </c>
      <c r="O75" t="str">
        <f t="shared" si="6"/>
        <v>{2,17}</v>
      </c>
      <c r="P75" t="str">
        <f t="shared" si="7"/>
        <v>{3,451}</v>
      </c>
      <c r="Q75" t="s">
        <v>454</v>
      </c>
      <c r="R75" t="s">
        <v>455</v>
      </c>
      <c r="S75" t="e">
        <f t="array" ref="S75">[2]!LKnum(N75:R75)</f>
        <v>#NAME?</v>
      </c>
    </row>
    <row r="76" spans="1:19">
      <c r="A76">
        <v>34030</v>
      </c>
      <c r="B76">
        <v>0</v>
      </c>
      <c r="C76">
        <v>1074005635</v>
      </c>
      <c r="H76" t="s">
        <v>234</v>
      </c>
      <c r="I76">
        <f t="shared" si="4"/>
        <v>4</v>
      </c>
      <c r="K76" t="s">
        <v>196</v>
      </c>
      <c r="L76">
        <v>1</v>
      </c>
      <c r="N76" t="str">
        <f t="shared" si="5"/>
        <v>{1,116}</v>
      </c>
      <c r="O76" t="str">
        <f t="shared" si="6"/>
        <v>{2,14}</v>
      </c>
      <c r="P76" t="str">
        <f t="shared" si="7"/>
        <v>{3,448}</v>
      </c>
      <c r="Q76" t="s">
        <v>454</v>
      </c>
      <c r="R76" t="s">
        <v>455</v>
      </c>
      <c r="S76" t="e">
        <f t="array" ref="S76">[2]!LKnum(N76:R76)</f>
        <v>#NAME?</v>
      </c>
    </row>
    <row r="77" spans="1:19">
      <c r="A77">
        <v>34031</v>
      </c>
      <c r="B77">
        <v>0</v>
      </c>
      <c r="C77">
        <v>537134723</v>
      </c>
      <c r="H77" t="s">
        <v>236</v>
      </c>
      <c r="I77">
        <f t="shared" si="4"/>
        <v>3</v>
      </c>
      <c r="K77" t="s">
        <v>198</v>
      </c>
      <c r="L77">
        <v>4</v>
      </c>
      <c r="N77" t="str">
        <f t="shared" si="5"/>
        <v>{1,114}</v>
      </c>
      <c r="O77" t="str">
        <f t="shared" si="6"/>
        <v>{2,16}</v>
      </c>
      <c r="P77" t="str">
        <f t="shared" si="7"/>
        <v>{3,450}</v>
      </c>
      <c r="Q77" t="s">
        <v>454</v>
      </c>
      <c r="R77" t="s">
        <v>455</v>
      </c>
      <c r="S77" t="e">
        <f t="array" ref="S77">[2]!LKnum(N77:R77)</f>
        <v>#NAME?</v>
      </c>
    </row>
    <row r="78" spans="1:19">
      <c r="A78">
        <v>34032</v>
      </c>
      <c r="B78">
        <v>0</v>
      </c>
      <c r="C78">
        <v>2147508867</v>
      </c>
      <c r="H78" t="s">
        <v>239</v>
      </c>
      <c r="I78">
        <f t="shared" si="4"/>
        <v>3</v>
      </c>
      <c r="K78" t="s">
        <v>200</v>
      </c>
      <c r="L78">
        <v>1</v>
      </c>
      <c r="N78" t="str">
        <f t="shared" si="5"/>
        <v>{1,114}</v>
      </c>
      <c r="O78" t="str">
        <f t="shared" si="6"/>
        <v>{2,16}</v>
      </c>
      <c r="P78" t="str">
        <f t="shared" si="7"/>
        <v>{3,450}</v>
      </c>
      <c r="Q78" t="s">
        <v>454</v>
      </c>
      <c r="R78" t="s">
        <v>455</v>
      </c>
      <c r="S78" t="e">
        <f t="array" ref="S78">[2]!LKnum(N78:R78)</f>
        <v>#NAME?</v>
      </c>
    </row>
    <row r="79" spans="1:19">
      <c r="A79">
        <v>34033</v>
      </c>
      <c r="B79">
        <v>0</v>
      </c>
      <c r="C79">
        <v>4295558801</v>
      </c>
      <c r="H79" t="s">
        <v>242</v>
      </c>
      <c r="I79">
        <f t="shared" si="4"/>
        <v>4</v>
      </c>
      <c r="K79" t="s">
        <v>202</v>
      </c>
      <c r="L79">
        <v>4</v>
      </c>
      <c r="N79" t="str">
        <f t="shared" si="5"/>
        <v>{1,116}</v>
      </c>
      <c r="O79" t="str">
        <f t="shared" si="6"/>
        <v>{2,14}</v>
      </c>
      <c r="P79" t="str">
        <f t="shared" si="7"/>
        <v>{3,448}</v>
      </c>
      <c r="Q79" t="s">
        <v>454</v>
      </c>
      <c r="R79" t="s">
        <v>455</v>
      </c>
      <c r="S79" t="e">
        <f t="array" ref="S79">[2]!LKnum(N79:R79)</f>
        <v>#NAME?</v>
      </c>
    </row>
    <row r="80" spans="1:19">
      <c r="A80">
        <v>34034</v>
      </c>
      <c r="B80">
        <v>0</v>
      </c>
      <c r="C80">
        <v>268700293</v>
      </c>
      <c r="H80" t="s">
        <v>244</v>
      </c>
      <c r="I80">
        <f t="shared" si="4"/>
        <v>3</v>
      </c>
      <c r="K80" t="s">
        <v>204</v>
      </c>
      <c r="L80">
        <v>1</v>
      </c>
      <c r="N80" t="str">
        <f t="shared" si="5"/>
        <v>{1,114}</v>
      </c>
      <c r="O80" t="str">
        <f t="shared" si="6"/>
        <v>{2,16}</v>
      </c>
      <c r="P80" t="str">
        <f t="shared" si="7"/>
        <v>{3,450}</v>
      </c>
      <c r="Q80" t="s">
        <v>454</v>
      </c>
      <c r="R80" t="s">
        <v>455</v>
      </c>
      <c r="S80" t="e">
        <f t="array" ref="S80">[2]!LKnum(N80:R80)</f>
        <v>#NAME?</v>
      </c>
    </row>
    <row r="81" spans="1:19">
      <c r="A81">
        <v>34035</v>
      </c>
      <c r="B81">
        <v>0</v>
      </c>
      <c r="C81">
        <v>268568965</v>
      </c>
      <c r="H81" t="s">
        <v>246</v>
      </c>
      <c r="I81">
        <f t="shared" si="4"/>
        <v>1</v>
      </c>
      <c r="K81" t="s">
        <v>207</v>
      </c>
      <c r="L81">
        <v>1</v>
      </c>
      <c r="N81" t="str">
        <f t="shared" si="5"/>
        <v>{1,115}</v>
      </c>
      <c r="O81" t="str">
        <f t="shared" si="6"/>
        <v>{2,15}</v>
      </c>
      <c r="P81" t="str">
        <f t="shared" si="7"/>
        <v>{3,449}</v>
      </c>
      <c r="Q81" t="s">
        <v>454</v>
      </c>
      <c r="R81" t="s">
        <v>455</v>
      </c>
      <c r="S81" t="e">
        <f t="array" ref="S81">[2]!LKnum(N81:R81)</f>
        <v>#NAME?</v>
      </c>
    </row>
    <row r="82" spans="1:19">
      <c r="A82">
        <v>34036</v>
      </c>
      <c r="B82">
        <v>0</v>
      </c>
      <c r="C82">
        <v>33821073</v>
      </c>
      <c r="H82" t="s">
        <v>249</v>
      </c>
      <c r="I82">
        <f t="shared" si="4"/>
        <v>2</v>
      </c>
      <c r="K82" t="s">
        <v>317</v>
      </c>
      <c r="L82">
        <v>2</v>
      </c>
      <c r="N82" t="str">
        <f t="shared" si="5"/>
        <v>{1,113}</v>
      </c>
      <c r="O82" t="str">
        <f t="shared" si="6"/>
        <v>{2,17}</v>
      </c>
      <c r="P82" t="str">
        <f t="shared" si="7"/>
        <v>{3,451}</v>
      </c>
      <c r="Q82" t="s">
        <v>454</v>
      </c>
      <c r="R82" t="s">
        <v>455</v>
      </c>
      <c r="S82" t="e">
        <f t="array" ref="S82">[2]!LKnum(N82:R82)</f>
        <v>#NAME?</v>
      </c>
    </row>
    <row r="83" spans="1:19">
      <c r="A83">
        <v>34037</v>
      </c>
      <c r="B83">
        <v>0</v>
      </c>
      <c r="C83">
        <v>268444291</v>
      </c>
      <c r="H83" t="s">
        <v>251</v>
      </c>
      <c r="I83">
        <f t="shared" si="4"/>
        <v>3</v>
      </c>
      <c r="K83" t="s">
        <v>210</v>
      </c>
      <c r="L83">
        <v>4</v>
      </c>
      <c r="N83" t="str">
        <f t="shared" si="5"/>
        <v>{1,114}</v>
      </c>
      <c r="O83" t="str">
        <f t="shared" si="6"/>
        <v>{2,16}</v>
      </c>
      <c r="P83" t="str">
        <f t="shared" si="7"/>
        <v>{3,450}</v>
      </c>
      <c r="Q83" t="s">
        <v>454</v>
      </c>
      <c r="R83" t="s">
        <v>455</v>
      </c>
      <c r="S83" t="e">
        <f t="array" ref="S83">[2]!LKnum(N83:R83)</f>
        <v>#NAME?</v>
      </c>
    </row>
    <row r="84" spans="1:19">
      <c r="A84">
        <v>34038</v>
      </c>
      <c r="B84">
        <v>0</v>
      </c>
      <c r="C84">
        <v>268700037</v>
      </c>
      <c r="H84" t="s">
        <v>253</v>
      </c>
      <c r="I84">
        <f t="shared" si="4"/>
        <v>2</v>
      </c>
      <c r="K84" t="s">
        <v>213</v>
      </c>
      <c r="L84">
        <v>2</v>
      </c>
      <c r="N84" t="str">
        <f t="shared" si="5"/>
        <v>{1,113}</v>
      </c>
      <c r="O84" t="str">
        <f t="shared" si="6"/>
        <v>{2,17}</v>
      </c>
      <c r="P84" t="str">
        <f t="shared" si="7"/>
        <v>{3,451}</v>
      </c>
      <c r="Q84" t="s">
        <v>454</v>
      </c>
      <c r="R84" t="s">
        <v>455</v>
      </c>
      <c r="S84" t="e">
        <f t="array" ref="S84">[2]!LKnum(N84:R84)</f>
        <v>#NAME?</v>
      </c>
    </row>
    <row r="85" spans="1:19">
      <c r="A85">
        <v>34039</v>
      </c>
      <c r="B85">
        <v>0</v>
      </c>
      <c r="C85">
        <v>268444291</v>
      </c>
      <c r="H85" t="s">
        <v>256</v>
      </c>
      <c r="I85">
        <f t="shared" si="4"/>
        <v>3</v>
      </c>
      <c r="K85" t="s">
        <v>215</v>
      </c>
      <c r="L85">
        <v>4</v>
      </c>
      <c r="N85" t="str">
        <f t="shared" si="5"/>
        <v>{1,114}</v>
      </c>
      <c r="O85" t="str">
        <f t="shared" si="6"/>
        <v>{2,16}</v>
      </c>
      <c r="P85" t="str">
        <f t="shared" si="7"/>
        <v>{3,450}</v>
      </c>
      <c r="Q85" t="s">
        <v>454</v>
      </c>
      <c r="R85" t="s">
        <v>455</v>
      </c>
      <c r="S85" t="e">
        <f t="array" ref="S85">[2]!LKnum(N85:R85)</f>
        <v>#NAME?</v>
      </c>
    </row>
    <row r="86" spans="1:19">
      <c r="A86">
        <v>34040</v>
      </c>
      <c r="B86">
        <v>0</v>
      </c>
      <c r="C86">
        <v>67373445</v>
      </c>
      <c r="H86" t="s">
        <v>257</v>
      </c>
      <c r="I86">
        <f t="shared" si="4"/>
        <v>2</v>
      </c>
      <c r="K86" t="s">
        <v>219</v>
      </c>
      <c r="L86">
        <v>1</v>
      </c>
      <c r="N86" t="str">
        <f t="shared" si="5"/>
        <v>{1,113}</v>
      </c>
      <c r="O86" t="str">
        <f t="shared" si="6"/>
        <v>{2,17}</v>
      </c>
      <c r="P86" t="str">
        <f t="shared" si="7"/>
        <v>{3,451}</v>
      </c>
      <c r="Q86" t="s">
        <v>454</v>
      </c>
      <c r="R86" t="s">
        <v>455</v>
      </c>
      <c r="S86" t="e">
        <f t="array" ref="S86">[2]!LKnum(N86:R86)</f>
        <v>#NAME?</v>
      </c>
    </row>
    <row r="87" spans="8:19">
      <c r="H87" t="s">
        <v>32</v>
      </c>
      <c r="I87">
        <f t="shared" si="4"/>
        <v>4</v>
      </c>
      <c r="K87" t="s">
        <v>222</v>
      </c>
      <c r="L87">
        <v>1</v>
      </c>
      <c r="N87" t="str">
        <f t="shared" si="5"/>
        <v>{1,116}</v>
      </c>
      <c r="O87" t="str">
        <f t="shared" si="6"/>
        <v>{2,14}</v>
      </c>
      <c r="P87" t="str">
        <f t="shared" si="7"/>
        <v>{3,448}</v>
      </c>
      <c r="Q87" t="s">
        <v>454</v>
      </c>
      <c r="R87" t="s">
        <v>455</v>
      </c>
      <c r="S87" t="e">
        <f t="array" ref="S87">[2]!LKnum(N87:R87)</f>
        <v>#NAME?</v>
      </c>
    </row>
    <row r="88" spans="3:19">
      <c r="C88">
        <v>1</v>
      </c>
      <c r="D88" t="s">
        <v>456</v>
      </c>
      <c r="E88" t="s">
        <v>457</v>
      </c>
      <c r="F88" t="s">
        <v>458</v>
      </c>
      <c r="H88" t="s">
        <v>36</v>
      </c>
      <c r="I88">
        <f t="shared" si="4"/>
        <v>2</v>
      </c>
      <c r="K88" t="s">
        <v>226</v>
      </c>
      <c r="L88">
        <v>1</v>
      </c>
      <c r="N88" t="str">
        <f t="shared" si="5"/>
        <v>{1,113}</v>
      </c>
      <c r="O88" t="str">
        <f t="shared" si="6"/>
        <v>{2,17}</v>
      </c>
      <c r="P88" t="str">
        <f t="shared" si="7"/>
        <v>{3,451}</v>
      </c>
      <c r="Q88" t="s">
        <v>454</v>
      </c>
      <c r="R88" t="s">
        <v>455</v>
      </c>
      <c r="S88" t="e">
        <f t="array" ref="S88">[2]!LKnum(N88:R88)</f>
        <v>#NAME?</v>
      </c>
    </row>
    <row r="89" spans="3:19">
      <c r="C89">
        <v>2</v>
      </c>
      <c r="D89" t="s">
        <v>459</v>
      </c>
      <c r="E89" t="s">
        <v>460</v>
      </c>
      <c r="F89" t="s">
        <v>461</v>
      </c>
      <c r="H89" t="s">
        <v>40</v>
      </c>
      <c r="I89">
        <f t="shared" si="4"/>
        <v>1</v>
      </c>
      <c r="K89" t="s">
        <v>319</v>
      </c>
      <c r="L89">
        <v>2</v>
      </c>
      <c r="N89" t="str">
        <f t="shared" si="5"/>
        <v>{1,115}</v>
      </c>
      <c r="O89" t="str">
        <f t="shared" si="6"/>
        <v>{2,15}</v>
      </c>
      <c r="P89" t="str">
        <f t="shared" si="7"/>
        <v>{3,449}</v>
      </c>
      <c r="Q89" t="s">
        <v>454</v>
      </c>
      <c r="R89" t="s">
        <v>455</v>
      </c>
      <c r="S89" t="e">
        <f t="array" ref="S89">[2]!LKnum(N89:R89)</f>
        <v>#NAME?</v>
      </c>
    </row>
    <row r="90" spans="3:19">
      <c r="C90">
        <v>3</v>
      </c>
      <c r="D90" t="s">
        <v>462</v>
      </c>
      <c r="E90" t="s">
        <v>463</v>
      </c>
      <c r="F90" t="s">
        <v>464</v>
      </c>
      <c r="H90" t="s">
        <v>43</v>
      </c>
      <c r="I90">
        <f t="shared" si="4"/>
        <v>1</v>
      </c>
      <c r="K90" t="s">
        <v>231</v>
      </c>
      <c r="L90">
        <v>2</v>
      </c>
      <c r="N90" t="str">
        <f t="shared" si="5"/>
        <v>{1,115}</v>
      </c>
      <c r="O90" t="str">
        <f t="shared" si="6"/>
        <v>{2,15}</v>
      </c>
      <c r="P90" t="str">
        <f t="shared" si="7"/>
        <v>{3,449}</v>
      </c>
      <c r="Q90" t="s">
        <v>454</v>
      </c>
      <c r="R90" t="s">
        <v>455</v>
      </c>
      <c r="S90" t="e">
        <f t="array" ref="S90">[2]!LKnum(N90:R90)</f>
        <v>#NAME?</v>
      </c>
    </row>
    <row r="91" spans="3:19">
      <c r="C91">
        <v>4</v>
      </c>
      <c r="D91" t="s">
        <v>465</v>
      </c>
      <c r="E91" t="s">
        <v>466</v>
      </c>
      <c r="F91" t="s">
        <v>467</v>
      </c>
      <c r="H91" t="s">
        <v>299</v>
      </c>
      <c r="I91">
        <f t="shared" si="4"/>
        <v>2</v>
      </c>
      <c r="K91" t="s">
        <v>320</v>
      </c>
      <c r="L91">
        <v>2</v>
      </c>
      <c r="N91" t="str">
        <f t="shared" si="5"/>
        <v>{1,113}</v>
      </c>
      <c r="O91" t="str">
        <f t="shared" si="6"/>
        <v>{2,17}</v>
      </c>
      <c r="P91" t="str">
        <f t="shared" si="7"/>
        <v>{3,451}</v>
      </c>
      <c r="Q91" t="s">
        <v>454</v>
      </c>
      <c r="R91" t="s">
        <v>455</v>
      </c>
      <c r="S91" t="e">
        <f t="array" ref="S91">[2]!LKnum(N91:R91)</f>
        <v>#NAME?</v>
      </c>
    </row>
    <row r="92" spans="8:19">
      <c r="H92" t="s">
        <v>46</v>
      </c>
      <c r="I92">
        <f t="shared" si="4"/>
        <v>4</v>
      </c>
      <c r="K92" t="s">
        <v>234</v>
      </c>
      <c r="L92">
        <v>4</v>
      </c>
      <c r="N92" t="str">
        <f t="shared" si="5"/>
        <v>{1,116}</v>
      </c>
      <c r="O92" t="str">
        <f t="shared" si="6"/>
        <v>{2,14}</v>
      </c>
      <c r="P92" t="str">
        <f t="shared" si="7"/>
        <v>{3,448}</v>
      </c>
      <c r="Q92" t="s">
        <v>454</v>
      </c>
      <c r="R92" t="s">
        <v>455</v>
      </c>
      <c r="S92" t="e">
        <f t="array" ref="S92">[2]!LKnum(N92:R92)</f>
        <v>#NAME?</v>
      </c>
    </row>
    <row r="93" spans="8:19">
      <c r="H93" t="s">
        <v>50</v>
      </c>
      <c r="I93">
        <f t="shared" si="4"/>
        <v>3</v>
      </c>
      <c r="K93" t="s">
        <v>236</v>
      </c>
      <c r="L93">
        <v>3</v>
      </c>
      <c r="N93" t="str">
        <f t="shared" si="5"/>
        <v>{1,114}</v>
      </c>
      <c r="O93" t="str">
        <f t="shared" si="6"/>
        <v>{2,16}</v>
      </c>
      <c r="P93" t="str">
        <f t="shared" si="7"/>
        <v>{3,450}</v>
      </c>
      <c r="Q93" t="s">
        <v>454</v>
      </c>
      <c r="R93" t="s">
        <v>455</v>
      </c>
      <c r="S93" t="e">
        <f t="array" ref="S93">[2]!LKnum(N93:R93)</f>
        <v>#NAME?</v>
      </c>
    </row>
    <row r="94" spans="8:19">
      <c r="H94" t="s">
        <v>53</v>
      </c>
      <c r="I94">
        <f t="shared" si="4"/>
        <v>4</v>
      </c>
      <c r="K94" t="s">
        <v>239</v>
      </c>
      <c r="L94">
        <v>3</v>
      </c>
      <c r="N94" t="str">
        <f t="shared" si="5"/>
        <v>{1,116}</v>
      </c>
      <c r="O94" t="str">
        <f t="shared" si="6"/>
        <v>{2,14}</v>
      </c>
      <c r="P94" t="str">
        <f t="shared" si="7"/>
        <v>{3,448}</v>
      </c>
      <c r="Q94" t="s">
        <v>454</v>
      </c>
      <c r="R94" t="s">
        <v>455</v>
      </c>
      <c r="S94" t="e">
        <f t="array" ref="S94">[2]!LKnum(N94:R94)</f>
        <v>#NAME?</v>
      </c>
    </row>
    <row r="95" spans="8:19">
      <c r="H95" t="s">
        <v>300</v>
      </c>
      <c r="I95">
        <f t="shared" si="4"/>
        <v>3</v>
      </c>
      <c r="K95" t="s">
        <v>242</v>
      </c>
      <c r="L95">
        <v>4</v>
      </c>
      <c r="N95" t="str">
        <f t="shared" si="5"/>
        <v>{1,114}</v>
      </c>
      <c r="O95" t="str">
        <f t="shared" si="6"/>
        <v>{2,16}</v>
      </c>
      <c r="P95" t="str">
        <f t="shared" si="7"/>
        <v>{3,450}</v>
      </c>
      <c r="Q95" t="s">
        <v>454</v>
      </c>
      <c r="R95" t="s">
        <v>455</v>
      </c>
      <c r="S95" t="e">
        <f t="array" ref="S95">[2]!LKnum(N95:R95)</f>
        <v>#NAME?</v>
      </c>
    </row>
    <row r="96" spans="8:19">
      <c r="H96" t="s">
        <v>301</v>
      </c>
      <c r="I96">
        <f t="shared" si="4"/>
        <v>4</v>
      </c>
      <c r="K96" t="s">
        <v>244</v>
      </c>
      <c r="L96">
        <v>3</v>
      </c>
      <c r="N96" t="str">
        <f t="shared" si="5"/>
        <v>{1,116}</v>
      </c>
      <c r="O96" t="str">
        <f t="shared" si="6"/>
        <v>{2,14}</v>
      </c>
      <c r="P96" t="str">
        <f t="shared" si="7"/>
        <v>{3,448}</v>
      </c>
      <c r="Q96" t="s">
        <v>454</v>
      </c>
      <c r="R96" t="s">
        <v>455</v>
      </c>
      <c r="S96" t="e">
        <f t="array" ref="S96">[2]!LKnum(N96:R96)</f>
        <v>#NAME?</v>
      </c>
    </row>
    <row r="97" spans="8:19">
      <c r="H97" t="s">
        <v>57</v>
      </c>
      <c r="I97">
        <f t="shared" si="4"/>
        <v>2</v>
      </c>
      <c r="K97" t="s">
        <v>246</v>
      </c>
      <c r="L97">
        <v>1</v>
      </c>
      <c r="N97" t="str">
        <f t="shared" si="5"/>
        <v>{1,113}</v>
      </c>
      <c r="O97" t="str">
        <f t="shared" si="6"/>
        <v>{2,17}</v>
      </c>
      <c r="P97" t="str">
        <f t="shared" si="7"/>
        <v>{3,451}</v>
      </c>
      <c r="Q97" t="s">
        <v>454</v>
      </c>
      <c r="R97" t="s">
        <v>455</v>
      </c>
      <c r="S97" t="e">
        <f t="array" ref="S97">[2]!LKnum(N97:R97)</f>
        <v>#NAME?</v>
      </c>
    </row>
    <row r="98" spans="8:19">
      <c r="H98" t="s">
        <v>60</v>
      </c>
      <c r="I98">
        <f t="shared" si="4"/>
        <v>2</v>
      </c>
      <c r="K98" t="s">
        <v>249</v>
      </c>
      <c r="L98">
        <v>2</v>
      </c>
      <c r="N98" t="str">
        <f t="shared" si="5"/>
        <v>{1,113}</v>
      </c>
      <c r="O98" t="str">
        <f t="shared" si="6"/>
        <v>{2,17}</v>
      </c>
      <c r="P98" t="str">
        <f t="shared" si="7"/>
        <v>{3,451}</v>
      </c>
      <c r="Q98" t="s">
        <v>454</v>
      </c>
      <c r="R98" t="s">
        <v>455</v>
      </c>
      <c r="S98" t="e">
        <f t="array" ref="S98">[2]!LKnum(N98:R98)</f>
        <v>#NAME?</v>
      </c>
    </row>
    <row r="99" spans="8:19">
      <c r="H99" t="s">
        <v>64</v>
      </c>
      <c r="I99">
        <f t="shared" si="4"/>
        <v>1</v>
      </c>
      <c r="K99" t="s">
        <v>251</v>
      </c>
      <c r="L99">
        <v>3</v>
      </c>
      <c r="N99" t="str">
        <f t="shared" si="5"/>
        <v>{1,115}</v>
      </c>
      <c r="O99" t="str">
        <f t="shared" si="6"/>
        <v>{2,15}</v>
      </c>
      <c r="P99" t="str">
        <f t="shared" si="7"/>
        <v>{3,449}</v>
      </c>
      <c r="Q99" t="s">
        <v>454</v>
      </c>
      <c r="R99" t="s">
        <v>455</v>
      </c>
      <c r="S99" t="e">
        <f t="array" ref="S99">[2]!LKnum(N99:R99)</f>
        <v>#NAME?</v>
      </c>
    </row>
    <row r="100" spans="8:19">
      <c r="H100" t="s">
        <v>68</v>
      </c>
      <c r="I100">
        <f t="shared" si="4"/>
        <v>1</v>
      </c>
      <c r="K100" t="s">
        <v>253</v>
      </c>
      <c r="L100">
        <v>2</v>
      </c>
      <c r="N100" t="str">
        <f t="shared" si="5"/>
        <v>{1,115}</v>
      </c>
      <c r="O100" t="str">
        <f t="shared" si="6"/>
        <v>{2,15}</v>
      </c>
      <c r="P100" t="str">
        <f t="shared" si="7"/>
        <v>{3,449}</v>
      </c>
      <c r="Q100" t="s">
        <v>454</v>
      </c>
      <c r="R100" t="s">
        <v>455</v>
      </c>
      <c r="S100" t="e">
        <f t="array" ref="S100">[2]!LKnum(N100:R100)</f>
        <v>#NAME?</v>
      </c>
    </row>
    <row r="101" spans="8:19">
      <c r="H101" t="s">
        <v>72</v>
      </c>
      <c r="I101">
        <f t="shared" si="4"/>
        <v>4</v>
      </c>
      <c r="K101" t="s">
        <v>256</v>
      </c>
      <c r="L101">
        <v>3</v>
      </c>
      <c r="N101" t="str">
        <f t="shared" si="5"/>
        <v>{1,116}</v>
      </c>
      <c r="O101" t="str">
        <f t="shared" si="6"/>
        <v>{2,14}</v>
      </c>
      <c r="P101" t="str">
        <f t="shared" si="7"/>
        <v>{3,448}</v>
      </c>
      <c r="Q101" t="s">
        <v>454</v>
      </c>
      <c r="R101" t="s">
        <v>455</v>
      </c>
      <c r="S101" t="e">
        <f t="array" ref="S101">[2]!LKnum(N101:R101)</f>
        <v>#NAME?</v>
      </c>
    </row>
    <row r="102" spans="8:19">
      <c r="H102" t="s">
        <v>75</v>
      </c>
      <c r="I102">
        <f t="shared" si="4"/>
        <v>4</v>
      </c>
      <c r="K102" t="s">
        <v>257</v>
      </c>
      <c r="L102">
        <v>2</v>
      </c>
      <c r="N102" t="str">
        <f t="shared" si="5"/>
        <v>{1,116}</v>
      </c>
      <c r="O102" t="str">
        <f t="shared" si="6"/>
        <v>{2,14}</v>
      </c>
      <c r="P102" t="str">
        <f t="shared" si="7"/>
        <v>{3,448}</v>
      </c>
      <c r="Q102" t="s">
        <v>454</v>
      </c>
      <c r="R102" t="s">
        <v>455</v>
      </c>
      <c r="S102" t="e">
        <f t="array" ref="S102">[2]!LKnum(N102:R102)</f>
        <v>#NAME?</v>
      </c>
    </row>
    <row r="103" spans="8:19">
      <c r="H103" t="s">
        <v>302</v>
      </c>
      <c r="I103">
        <f t="shared" si="4"/>
        <v>1</v>
      </c>
      <c r="N103" t="str">
        <f t="shared" si="5"/>
        <v>{1,115}</v>
      </c>
      <c r="O103" t="str">
        <f t="shared" si="6"/>
        <v>{2,15}</v>
      </c>
      <c r="P103" t="str">
        <f t="shared" si="7"/>
        <v>{3,449}</v>
      </c>
      <c r="Q103" t="s">
        <v>454</v>
      </c>
      <c r="R103" t="s">
        <v>455</v>
      </c>
      <c r="S103" t="e">
        <f t="array" ref="S103">[2]!LKnum(N103:R103)</f>
        <v>#NAME?</v>
      </c>
    </row>
    <row r="104" spans="8:19">
      <c r="H104" t="s">
        <v>77</v>
      </c>
      <c r="I104">
        <f t="shared" si="4"/>
        <v>1</v>
      </c>
      <c r="N104" t="str">
        <f t="shared" si="5"/>
        <v>{1,115}</v>
      </c>
      <c r="O104" t="str">
        <f t="shared" si="6"/>
        <v>{2,15}</v>
      </c>
      <c r="P104" t="str">
        <f t="shared" si="7"/>
        <v>{3,449}</v>
      </c>
      <c r="Q104" t="s">
        <v>454</v>
      </c>
      <c r="R104" t="s">
        <v>455</v>
      </c>
      <c r="S104" t="e">
        <f t="array" ref="S104">[2]!LKnum(N104:R104)</f>
        <v>#NAME?</v>
      </c>
    </row>
    <row r="105" spans="8:19">
      <c r="H105" t="s">
        <v>81</v>
      </c>
      <c r="I105">
        <f t="shared" si="4"/>
        <v>4</v>
      </c>
      <c r="N105" t="str">
        <f t="shared" si="5"/>
        <v>{1,116}</v>
      </c>
      <c r="O105" t="str">
        <f t="shared" si="6"/>
        <v>{2,14}</v>
      </c>
      <c r="P105" t="str">
        <f t="shared" si="7"/>
        <v>{3,448}</v>
      </c>
      <c r="Q105" t="s">
        <v>454</v>
      </c>
      <c r="R105" t="s">
        <v>455</v>
      </c>
      <c r="S105" t="e">
        <f t="array" ref="S105">[2]!LKnum(N105:R105)</f>
        <v>#NAME?</v>
      </c>
    </row>
    <row r="106" spans="8:19">
      <c r="H106" t="s">
        <v>85</v>
      </c>
      <c r="I106">
        <f t="shared" si="4"/>
        <v>2</v>
      </c>
      <c r="N106" t="str">
        <f t="shared" si="5"/>
        <v>{1,113}</v>
      </c>
      <c r="O106" t="str">
        <f t="shared" si="6"/>
        <v>{2,17}</v>
      </c>
      <c r="P106" t="str">
        <f t="shared" si="7"/>
        <v>{3,451}</v>
      </c>
      <c r="Q106" t="s">
        <v>454</v>
      </c>
      <c r="R106" t="s">
        <v>455</v>
      </c>
      <c r="S106" t="e">
        <f t="array" ref="S106">[2]!LKnum(N106:R106)</f>
        <v>#NAME?</v>
      </c>
    </row>
    <row r="107" spans="8:19">
      <c r="H107" t="s">
        <v>89</v>
      </c>
      <c r="I107">
        <f t="shared" si="4"/>
        <v>4</v>
      </c>
      <c r="N107" t="str">
        <f t="shared" si="5"/>
        <v>{1,116}</v>
      </c>
      <c r="O107" t="str">
        <f t="shared" si="6"/>
        <v>{2,14}</v>
      </c>
      <c r="P107" t="str">
        <f t="shared" si="7"/>
        <v>{3,448}</v>
      </c>
      <c r="Q107" t="s">
        <v>454</v>
      </c>
      <c r="R107" t="s">
        <v>455</v>
      </c>
      <c r="S107" t="e">
        <f t="array" ref="S107">[2]!LKnum(N107:R107)</f>
        <v>#NAME?</v>
      </c>
    </row>
    <row r="108" spans="8:19">
      <c r="H108" t="s">
        <v>92</v>
      </c>
      <c r="I108">
        <f t="shared" si="4"/>
        <v>2</v>
      </c>
      <c r="N108" t="str">
        <f t="shared" si="5"/>
        <v>{1,113}</v>
      </c>
      <c r="O108" t="str">
        <f t="shared" si="6"/>
        <v>{2,17}</v>
      </c>
      <c r="P108" t="str">
        <f t="shared" si="7"/>
        <v>{3,451}</v>
      </c>
      <c r="Q108" t="s">
        <v>454</v>
      </c>
      <c r="R108" t="s">
        <v>455</v>
      </c>
      <c r="S108" t="e">
        <f t="array" ref="S108">[2]!LKnum(N108:R108)</f>
        <v>#NAME?</v>
      </c>
    </row>
    <row r="109" spans="8:19">
      <c r="H109" t="s">
        <v>96</v>
      </c>
      <c r="I109">
        <f t="shared" si="4"/>
        <v>3</v>
      </c>
      <c r="N109" t="str">
        <f t="shared" si="5"/>
        <v>{1,114}</v>
      </c>
      <c r="O109" t="str">
        <f t="shared" si="6"/>
        <v>{2,16}</v>
      </c>
      <c r="P109" t="str">
        <f t="shared" si="7"/>
        <v>{3,450}</v>
      </c>
      <c r="Q109" t="s">
        <v>454</v>
      </c>
      <c r="R109" t="s">
        <v>455</v>
      </c>
      <c r="S109" t="e">
        <f t="array" ref="S109">[2]!LKnum(N109:R109)</f>
        <v>#NAME?</v>
      </c>
    </row>
    <row r="110" spans="8:19">
      <c r="H110" t="s">
        <v>99</v>
      </c>
      <c r="I110">
        <f t="shared" si="4"/>
        <v>1</v>
      </c>
      <c r="N110" t="str">
        <f t="shared" si="5"/>
        <v>{1,115}</v>
      </c>
      <c r="O110" t="str">
        <f t="shared" si="6"/>
        <v>{2,15}</v>
      </c>
      <c r="P110" t="str">
        <f t="shared" si="7"/>
        <v>{3,449}</v>
      </c>
      <c r="Q110" t="s">
        <v>454</v>
      </c>
      <c r="R110" t="s">
        <v>455</v>
      </c>
      <c r="S110" t="e">
        <f t="array" ref="S110">[2]!LKnum(N110:R110)</f>
        <v>#NAME?</v>
      </c>
    </row>
    <row r="111" spans="8:19">
      <c r="H111" t="s">
        <v>102</v>
      </c>
      <c r="I111">
        <f t="shared" si="4"/>
        <v>2</v>
      </c>
      <c r="N111" t="str">
        <f t="shared" si="5"/>
        <v>{1,113}</v>
      </c>
      <c r="O111" t="str">
        <f t="shared" si="6"/>
        <v>{2,17}</v>
      </c>
      <c r="P111" t="str">
        <f t="shared" si="7"/>
        <v>{3,451}</v>
      </c>
      <c r="Q111" t="s">
        <v>454</v>
      </c>
      <c r="R111" t="s">
        <v>455</v>
      </c>
      <c r="S111" t="e">
        <f t="array" ref="S111">[2]!LKnum(N111:R111)</f>
        <v>#NAME?</v>
      </c>
    </row>
    <row r="112" spans="8:19">
      <c r="H112" t="s">
        <v>105</v>
      </c>
      <c r="I112">
        <f t="shared" si="4"/>
        <v>1</v>
      </c>
      <c r="N112" t="str">
        <f t="shared" si="5"/>
        <v>{1,115}</v>
      </c>
      <c r="O112" t="str">
        <f t="shared" si="6"/>
        <v>{2,15}</v>
      </c>
      <c r="P112" t="str">
        <f t="shared" si="7"/>
        <v>{3,449}</v>
      </c>
      <c r="Q112" t="s">
        <v>454</v>
      </c>
      <c r="R112" t="s">
        <v>455</v>
      </c>
      <c r="S112" t="e">
        <f t="array" ref="S112">[2]!LKnum(N112:R112)</f>
        <v>#NAME?</v>
      </c>
    </row>
    <row r="113" spans="8:19">
      <c r="H113" t="s">
        <v>108</v>
      </c>
      <c r="I113">
        <f t="shared" si="4"/>
        <v>4</v>
      </c>
      <c r="N113" t="str">
        <f t="shared" si="5"/>
        <v>{1,116}</v>
      </c>
      <c r="O113" t="str">
        <f t="shared" si="6"/>
        <v>{2,14}</v>
      </c>
      <c r="P113" t="str">
        <f t="shared" si="7"/>
        <v>{3,448}</v>
      </c>
      <c r="Q113" t="s">
        <v>454</v>
      </c>
      <c r="R113" t="s">
        <v>455</v>
      </c>
      <c r="S113" t="e">
        <f t="array" ref="S113">[2]!LKnum(N113:R113)</f>
        <v>#NAME?</v>
      </c>
    </row>
    <row r="114" spans="8:19">
      <c r="H114" t="s">
        <v>112</v>
      </c>
      <c r="I114">
        <f t="shared" si="4"/>
        <v>1</v>
      </c>
      <c r="N114" t="str">
        <f t="shared" si="5"/>
        <v>{1,115}</v>
      </c>
      <c r="O114" t="str">
        <f t="shared" si="6"/>
        <v>{2,15}</v>
      </c>
      <c r="P114" t="str">
        <f t="shared" si="7"/>
        <v>{3,449}</v>
      </c>
      <c r="Q114" t="s">
        <v>454</v>
      </c>
      <c r="R114" t="s">
        <v>455</v>
      </c>
      <c r="S114" t="e">
        <f t="array" ref="S114">[2]!LKnum(N114:R114)</f>
        <v>#NAME?</v>
      </c>
    </row>
    <row r="115" spans="8:19">
      <c r="H115" t="s">
        <v>115</v>
      </c>
      <c r="I115">
        <f t="shared" si="4"/>
        <v>2</v>
      </c>
      <c r="N115" t="str">
        <f t="shared" si="5"/>
        <v>{1,113}</v>
      </c>
      <c r="O115" t="str">
        <f t="shared" si="6"/>
        <v>{2,17}</v>
      </c>
      <c r="P115" t="str">
        <f t="shared" si="7"/>
        <v>{3,451}</v>
      </c>
      <c r="Q115" t="s">
        <v>454</v>
      </c>
      <c r="R115" t="s">
        <v>455</v>
      </c>
      <c r="S115" t="e">
        <f t="array" ref="S115">[2]!LKnum(N115:R115)</f>
        <v>#NAME?</v>
      </c>
    </row>
    <row r="116" spans="8:19">
      <c r="H116" t="s">
        <v>117</v>
      </c>
      <c r="I116">
        <f t="shared" si="4"/>
        <v>2</v>
      </c>
      <c r="N116" t="str">
        <f t="shared" si="5"/>
        <v>{1,113}</v>
      </c>
      <c r="O116" t="str">
        <f t="shared" si="6"/>
        <v>{2,17}</v>
      </c>
      <c r="P116" t="str">
        <f t="shared" si="7"/>
        <v>{3,451}</v>
      </c>
      <c r="Q116" t="s">
        <v>454</v>
      </c>
      <c r="R116" t="s">
        <v>455</v>
      </c>
      <c r="S116" t="e">
        <f t="array" ref="S116">[2]!LKnum(N116:R116)</f>
        <v>#NAME?</v>
      </c>
    </row>
    <row r="117" spans="8:19">
      <c r="H117" t="s">
        <v>120</v>
      </c>
      <c r="I117">
        <f t="shared" si="4"/>
        <v>1</v>
      </c>
      <c r="N117" t="str">
        <f t="shared" si="5"/>
        <v>{1,115}</v>
      </c>
      <c r="O117" t="str">
        <f t="shared" si="6"/>
        <v>{2,15}</v>
      </c>
      <c r="P117" t="str">
        <f t="shared" si="7"/>
        <v>{3,449}</v>
      </c>
      <c r="Q117" t="s">
        <v>454</v>
      </c>
      <c r="R117" t="s">
        <v>455</v>
      </c>
      <c r="S117" t="e">
        <f t="array" ref="S117">[2]!LKnum(N117:R117)</f>
        <v>#NAME?</v>
      </c>
    </row>
    <row r="118" spans="8:19">
      <c r="H118" t="s">
        <v>122</v>
      </c>
      <c r="I118">
        <f t="shared" si="4"/>
        <v>1</v>
      </c>
      <c r="N118" t="str">
        <f t="shared" si="5"/>
        <v>{1,115}</v>
      </c>
      <c r="O118" t="str">
        <f t="shared" si="6"/>
        <v>{2,15}</v>
      </c>
      <c r="P118" t="str">
        <f t="shared" si="7"/>
        <v>{3,449}</v>
      </c>
      <c r="Q118" t="s">
        <v>454</v>
      </c>
      <c r="R118" t="s">
        <v>455</v>
      </c>
      <c r="S118" t="e">
        <f t="array" ref="S118">[2]!LKnum(N118:R118)</f>
        <v>#NAME?</v>
      </c>
    </row>
    <row r="119" spans="8:19">
      <c r="H119" t="s">
        <v>125</v>
      </c>
      <c r="I119">
        <f t="shared" si="4"/>
        <v>3</v>
      </c>
      <c r="N119" t="str">
        <f t="shared" si="5"/>
        <v>{1,114}</v>
      </c>
      <c r="O119" t="str">
        <f t="shared" si="6"/>
        <v>{2,16}</v>
      </c>
      <c r="P119" t="str">
        <f t="shared" si="7"/>
        <v>{3,450}</v>
      </c>
      <c r="Q119" t="s">
        <v>454</v>
      </c>
      <c r="R119" t="s">
        <v>455</v>
      </c>
      <c r="S119" t="e">
        <f t="array" ref="S119">[2]!LKnum(N119:R119)</f>
        <v>#NAME?</v>
      </c>
    </row>
    <row r="120" spans="8:19">
      <c r="H120" t="s">
        <v>128</v>
      </c>
      <c r="I120">
        <f t="shared" si="4"/>
        <v>2</v>
      </c>
      <c r="N120" t="str">
        <f t="shared" si="5"/>
        <v>{1,113}</v>
      </c>
      <c r="O120" t="str">
        <f t="shared" si="6"/>
        <v>{2,17}</v>
      </c>
      <c r="P120" t="str">
        <f t="shared" si="7"/>
        <v>{3,451}</v>
      </c>
      <c r="Q120" t="s">
        <v>454</v>
      </c>
      <c r="R120" t="s">
        <v>455</v>
      </c>
      <c r="S120" t="e">
        <f t="array" ref="S120">[2]!LKnum(N120:R120)</f>
        <v>#NAME?</v>
      </c>
    </row>
    <row r="121" spans="8:19">
      <c r="H121" t="s">
        <v>131</v>
      </c>
      <c r="I121">
        <f t="shared" si="4"/>
        <v>1</v>
      </c>
      <c r="N121" t="str">
        <f t="shared" si="5"/>
        <v>{1,115}</v>
      </c>
      <c r="O121" t="str">
        <f t="shared" si="6"/>
        <v>{2,15}</v>
      </c>
      <c r="P121" t="str">
        <f t="shared" si="7"/>
        <v>{3,449}</v>
      </c>
      <c r="Q121" t="s">
        <v>454</v>
      </c>
      <c r="R121" t="s">
        <v>455</v>
      </c>
      <c r="S121" t="e">
        <f t="array" ref="S121">[2]!LKnum(N121:R121)</f>
        <v>#NAME?</v>
      </c>
    </row>
    <row r="122" spans="8:19">
      <c r="H122" t="s">
        <v>134</v>
      </c>
      <c r="I122">
        <f t="shared" si="4"/>
        <v>1</v>
      </c>
      <c r="N122" t="str">
        <f t="shared" si="5"/>
        <v>{1,115}</v>
      </c>
      <c r="O122" t="str">
        <f t="shared" si="6"/>
        <v>{2,15}</v>
      </c>
      <c r="P122" t="str">
        <f t="shared" si="7"/>
        <v>{3,449}</v>
      </c>
      <c r="Q122" t="s">
        <v>454</v>
      </c>
      <c r="R122" t="s">
        <v>455</v>
      </c>
      <c r="S122" t="e">
        <f t="array" ref="S122">[2]!LKnum(N122:R122)</f>
        <v>#NAME?</v>
      </c>
    </row>
    <row r="123" spans="8:19">
      <c r="H123" t="s">
        <v>137</v>
      </c>
      <c r="I123">
        <f t="shared" si="4"/>
        <v>4</v>
      </c>
      <c r="N123" t="str">
        <f t="shared" si="5"/>
        <v>{1,116}</v>
      </c>
      <c r="O123" t="str">
        <f t="shared" si="6"/>
        <v>{2,14}</v>
      </c>
      <c r="P123" t="str">
        <f t="shared" si="7"/>
        <v>{3,448}</v>
      </c>
      <c r="Q123" t="s">
        <v>454</v>
      </c>
      <c r="R123" t="s">
        <v>455</v>
      </c>
      <c r="S123" t="e">
        <f t="array" ref="S123">[2]!LKnum(N123:R123)</f>
        <v>#NAME?</v>
      </c>
    </row>
    <row r="124" spans="8:19">
      <c r="H124" t="s">
        <v>140</v>
      </c>
      <c r="I124">
        <f t="shared" si="4"/>
        <v>1</v>
      </c>
      <c r="N124" t="str">
        <f t="shared" si="5"/>
        <v>{1,115}</v>
      </c>
      <c r="O124" t="str">
        <f t="shared" si="6"/>
        <v>{2,15}</v>
      </c>
      <c r="P124" t="str">
        <f t="shared" si="7"/>
        <v>{3,449}</v>
      </c>
      <c r="Q124" t="s">
        <v>454</v>
      </c>
      <c r="R124" t="s">
        <v>455</v>
      </c>
      <c r="S124" t="e">
        <f t="array" ref="S124">[2]!LKnum(N124:R124)</f>
        <v>#NAME?</v>
      </c>
    </row>
    <row r="125" spans="8:19">
      <c r="H125" t="s">
        <v>142</v>
      </c>
      <c r="I125">
        <f t="shared" si="4"/>
        <v>2</v>
      </c>
      <c r="N125" t="str">
        <f t="shared" si="5"/>
        <v>{1,113}</v>
      </c>
      <c r="O125" t="str">
        <f t="shared" si="6"/>
        <v>{2,17}</v>
      </c>
      <c r="P125" t="str">
        <f t="shared" si="7"/>
        <v>{3,451}</v>
      </c>
      <c r="Q125" t="s">
        <v>454</v>
      </c>
      <c r="R125" t="s">
        <v>455</v>
      </c>
      <c r="S125" t="e">
        <f t="array" ref="S125">[2]!LKnum(N125:R125)</f>
        <v>#NAME?</v>
      </c>
    </row>
    <row r="126" spans="8:19">
      <c r="H126" t="s">
        <v>145</v>
      </c>
      <c r="I126">
        <f t="shared" si="4"/>
        <v>4</v>
      </c>
      <c r="N126" t="str">
        <f t="shared" si="5"/>
        <v>{1,116}</v>
      </c>
      <c r="O126" t="str">
        <f t="shared" si="6"/>
        <v>{2,14}</v>
      </c>
      <c r="P126" t="str">
        <f t="shared" si="7"/>
        <v>{3,448}</v>
      </c>
      <c r="Q126" t="s">
        <v>454</v>
      </c>
      <c r="R126" t="s">
        <v>455</v>
      </c>
      <c r="S126" t="e">
        <f t="array" ref="S126">[2]!LKnum(N126:R126)</f>
        <v>#NAME?</v>
      </c>
    </row>
    <row r="127" spans="8:19">
      <c r="H127" t="s">
        <v>147</v>
      </c>
      <c r="I127">
        <f t="shared" si="4"/>
        <v>4</v>
      </c>
      <c r="N127" t="str">
        <f t="shared" si="5"/>
        <v>{1,116}</v>
      </c>
      <c r="O127" t="str">
        <f t="shared" si="6"/>
        <v>{2,14}</v>
      </c>
      <c r="P127" t="str">
        <f t="shared" si="7"/>
        <v>{3,448}</v>
      </c>
      <c r="Q127" t="s">
        <v>454</v>
      </c>
      <c r="R127" t="s">
        <v>455</v>
      </c>
      <c r="S127" t="e">
        <f t="array" ref="S127">[2]!LKnum(N127:R127)</f>
        <v>#NAME?</v>
      </c>
    </row>
    <row r="128" spans="8:19">
      <c r="H128" t="s">
        <v>150</v>
      </c>
      <c r="I128">
        <f t="shared" si="4"/>
        <v>1</v>
      </c>
      <c r="N128" t="str">
        <f t="shared" si="5"/>
        <v>{1,115}</v>
      </c>
      <c r="O128" t="str">
        <f t="shared" si="6"/>
        <v>{2,15}</v>
      </c>
      <c r="P128" t="str">
        <f t="shared" si="7"/>
        <v>{3,449}</v>
      </c>
      <c r="Q128" t="s">
        <v>454</v>
      </c>
      <c r="R128" t="s">
        <v>455</v>
      </c>
      <c r="S128" t="e">
        <f t="array" ref="S128">[2]!LKnum(N128:R128)</f>
        <v>#NAME?</v>
      </c>
    </row>
    <row r="129" spans="8:19">
      <c r="H129" t="s">
        <v>154</v>
      </c>
      <c r="I129">
        <f t="shared" si="4"/>
        <v>2</v>
      </c>
      <c r="N129" t="str">
        <f t="shared" si="5"/>
        <v>{1,113}</v>
      </c>
      <c r="O129" t="str">
        <f t="shared" si="6"/>
        <v>{2,17}</v>
      </c>
      <c r="P129" t="str">
        <f t="shared" si="7"/>
        <v>{3,451}</v>
      </c>
      <c r="Q129" t="s">
        <v>454</v>
      </c>
      <c r="R129" t="s">
        <v>455</v>
      </c>
      <c r="S129" t="e">
        <f t="array" ref="S129">[2]!LKnum(N129:R129)</f>
        <v>#NAME?</v>
      </c>
    </row>
    <row r="130" spans="8:19">
      <c r="H130" t="s">
        <v>157</v>
      </c>
      <c r="I130">
        <f t="shared" si="4"/>
        <v>1</v>
      </c>
      <c r="N130" t="str">
        <f t="shared" si="5"/>
        <v>{1,115}</v>
      </c>
      <c r="O130" t="str">
        <f t="shared" si="6"/>
        <v>{2,15}</v>
      </c>
      <c r="P130" t="str">
        <f t="shared" si="7"/>
        <v>{3,449}</v>
      </c>
      <c r="Q130" t="s">
        <v>454</v>
      </c>
      <c r="R130" t="s">
        <v>455</v>
      </c>
      <c r="S130" t="e">
        <f t="array" ref="S130">[2]!LKnum(N130:R130)</f>
        <v>#NAME?</v>
      </c>
    </row>
    <row r="131" spans="8:19">
      <c r="H131" t="s">
        <v>159</v>
      </c>
      <c r="I131">
        <f t="shared" ref="I131:I194" si="8">VLOOKUP(H131,$K$2:$L$102,2,0)</f>
        <v>2</v>
      </c>
      <c r="N131" t="str">
        <f t="shared" ref="N131:N194" si="9">VLOOKUP(I131,$C$88:$F$91,2,0)</f>
        <v>{1,113}</v>
      </c>
      <c r="O131" t="str">
        <f t="shared" ref="O131:O194" si="10">VLOOKUP(I131,$C$88:$F$91,3,0)</f>
        <v>{2,17}</v>
      </c>
      <c r="P131" t="str">
        <f t="shared" ref="P131:P194" si="11">VLOOKUP(I131,$C$88:$F$91,4,0)</f>
        <v>{3,451}</v>
      </c>
      <c r="Q131" t="s">
        <v>454</v>
      </c>
      <c r="R131" t="s">
        <v>455</v>
      </c>
      <c r="S131" t="e">
        <f t="array" ref="S131">[2]!LKnum(N131:R131)</f>
        <v>#NAME?</v>
      </c>
    </row>
    <row r="132" spans="8:19">
      <c r="H132" t="s">
        <v>161</v>
      </c>
      <c r="I132">
        <f t="shared" si="8"/>
        <v>4</v>
      </c>
      <c r="N132" t="str">
        <f t="shared" si="9"/>
        <v>{1,116}</v>
      </c>
      <c r="O132" t="str">
        <f t="shared" si="10"/>
        <v>{2,14}</v>
      </c>
      <c r="P132" t="str">
        <f t="shared" si="11"/>
        <v>{3,448}</v>
      </c>
      <c r="Q132" t="s">
        <v>454</v>
      </c>
      <c r="R132" t="s">
        <v>455</v>
      </c>
      <c r="S132" t="e">
        <f t="array" ref="S132">[2]!LKnum(N132:R132)</f>
        <v>#NAME?</v>
      </c>
    </row>
    <row r="133" spans="8:19">
      <c r="H133" t="s">
        <v>163</v>
      </c>
      <c r="I133">
        <f t="shared" si="8"/>
        <v>4</v>
      </c>
      <c r="N133" t="str">
        <f t="shared" si="9"/>
        <v>{1,116}</v>
      </c>
      <c r="O133" t="str">
        <f t="shared" si="10"/>
        <v>{2,14}</v>
      </c>
      <c r="P133" t="str">
        <f t="shared" si="11"/>
        <v>{3,448}</v>
      </c>
      <c r="Q133" t="s">
        <v>454</v>
      </c>
      <c r="R133" t="s">
        <v>455</v>
      </c>
      <c r="S133" t="e">
        <f t="array" ref="S133">[2]!LKnum(N133:R133)</f>
        <v>#NAME?</v>
      </c>
    </row>
    <row r="134" spans="8:19">
      <c r="H134" t="s">
        <v>166</v>
      </c>
      <c r="I134">
        <f t="shared" si="8"/>
        <v>4</v>
      </c>
      <c r="N134" t="str">
        <f t="shared" si="9"/>
        <v>{1,116}</v>
      </c>
      <c r="O134" t="str">
        <f t="shared" si="10"/>
        <v>{2,14}</v>
      </c>
      <c r="P134" t="str">
        <f t="shared" si="11"/>
        <v>{3,448}</v>
      </c>
      <c r="Q134" t="s">
        <v>454</v>
      </c>
      <c r="R134" t="s">
        <v>455</v>
      </c>
      <c r="S134" t="e">
        <f t="array" ref="S134">[2]!LKnum(N134:R134)</f>
        <v>#NAME?</v>
      </c>
    </row>
    <row r="135" spans="8:19">
      <c r="H135" t="s">
        <v>169</v>
      </c>
      <c r="I135">
        <f t="shared" si="8"/>
        <v>2</v>
      </c>
      <c r="N135" t="str">
        <f t="shared" si="9"/>
        <v>{1,113}</v>
      </c>
      <c r="O135" t="str">
        <f t="shared" si="10"/>
        <v>{2,17}</v>
      </c>
      <c r="P135" t="str">
        <f t="shared" si="11"/>
        <v>{3,451}</v>
      </c>
      <c r="Q135" t="s">
        <v>454</v>
      </c>
      <c r="R135" t="s">
        <v>455</v>
      </c>
      <c r="S135" t="e">
        <f t="array" ref="S135">[2]!LKnum(N135:R135)</f>
        <v>#NAME?</v>
      </c>
    </row>
    <row r="136" spans="8:19">
      <c r="H136" t="s">
        <v>311</v>
      </c>
      <c r="I136">
        <f t="shared" si="8"/>
        <v>2</v>
      </c>
      <c r="N136" t="str">
        <f t="shared" si="9"/>
        <v>{1,113}</v>
      </c>
      <c r="O136" t="str">
        <f t="shared" si="10"/>
        <v>{2,17}</v>
      </c>
      <c r="P136" t="str">
        <f t="shared" si="11"/>
        <v>{3,451}</v>
      </c>
      <c r="Q136" t="s">
        <v>454</v>
      </c>
      <c r="R136" t="s">
        <v>455</v>
      </c>
      <c r="S136" t="e">
        <f t="array" ref="S136">[2]!LKnum(N136:R136)</f>
        <v>#NAME?</v>
      </c>
    </row>
    <row r="137" spans="8:19">
      <c r="H137" t="s">
        <v>171</v>
      </c>
      <c r="I137">
        <f t="shared" si="8"/>
        <v>4</v>
      </c>
      <c r="N137" t="str">
        <f t="shared" si="9"/>
        <v>{1,116}</v>
      </c>
      <c r="O137" t="str">
        <f t="shared" si="10"/>
        <v>{2,14}</v>
      </c>
      <c r="P137" t="str">
        <f t="shared" si="11"/>
        <v>{3,448}</v>
      </c>
      <c r="Q137" t="s">
        <v>454</v>
      </c>
      <c r="R137" t="s">
        <v>455</v>
      </c>
      <c r="S137" t="e">
        <f t="array" ref="S137">[2]!LKnum(N137:R137)</f>
        <v>#NAME?</v>
      </c>
    </row>
    <row r="138" spans="8:19">
      <c r="H138" t="s">
        <v>173</v>
      </c>
      <c r="I138">
        <f t="shared" si="8"/>
        <v>1</v>
      </c>
      <c r="N138" t="str">
        <f t="shared" si="9"/>
        <v>{1,115}</v>
      </c>
      <c r="O138" t="str">
        <f t="shared" si="10"/>
        <v>{2,15}</v>
      </c>
      <c r="P138" t="str">
        <f t="shared" si="11"/>
        <v>{3,449}</v>
      </c>
      <c r="Q138" t="s">
        <v>454</v>
      </c>
      <c r="R138" t="s">
        <v>455</v>
      </c>
      <c r="S138" t="e">
        <f t="array" ref="S138">[2]!LKnum(N138:R138)</f>
        <v>#NAME?</v>
      </c>
    </row>
    <row r="139" spans="8:19">
      <c r="H139" t="s">
        <v>176</v>
      </c>
      <c r="I139">
        <f t="shared" si="8"/>
        <v>1</v>
      </c>
      <c r="N139" t="str">
        <f t="shared" si="9"/>
        <v>{1,115}</v>
      </c>
      <c r="O139" t="str">
        <f t="shared" si="10"/>
        <v>{2,15}</v>
      </c>
      <c r="P139" t="str">
        <f t="shared" si="11"/>
        <v>{3,449}</v>
      </c>
      <c r="Q139" t="s">
        <v>454</v>
      </c>
      <c r="R139" t="s">
        <v>455</v>
      </c>
      <c r="S139" t="e">
        <f t="array" ref="S139">[2]!LKnum(N139:R139)</f>
        <v>#NAME?</v>
      </c>
    </row>
    <row r="140" spans="8:19">
      <c r="H140" t="s">
        <v>179</v>
      </c>
      <c r="I140">
        <f t="shared" si="8"/>
        <v>2</v>
      </c>
      <c r="N140" t="str">
        <f t="shared" si="9"/>
        <v>{1,113}</v>
      </c>
      <c r="O140" t="str">
        <f t="shared" si="10"/>
        <v>{2,17}</v>
      </c>
      <c r="P140" t="str">
        <f t="shared" si="11"/>
        <v>{3,451}</v>
      </c>
      <c r="Q140" t="s">
        <v>454</v>
      </c>
      <c r="R140" t="s">
        <v>455</v>
      </c>
      <c r="S140" t="e">
        <f t="array" ref="S140">[2]!LKnum(N140:R140)</f>
        <v>#NAME?</v>
      </c>
    </row>
    <row r="141" spans="8:19">
      <c r="H141" t="s">
        <v>181</v>
      </c>
      <c r="I141">
        <f t="shared" si="8"/>
        <v>2</v>
      </c>
      <c r="N141" t="str">
        <f t="shared" si="9"/>
        <v>{1,113}</v>
      </c>
      <c r="O141" t="str">
        <f t="shared" si="10"/>
        <v>{2,17}</v>
      </c>
      <c r="P141" t="str">
        <f t="shared" si="11"/>
        <v>{3,451}</v>
      </c>
      <c r="Q141" t="s">
        <v>454</v>
      </c>
      <c r="R141" t="s">
        <v>455</v>
      </c>
      <c r="S141" t="e">
        <f t="array" ref="S141">[2]!LKnum(N141:R141)</f>
        <v>#NAME?</v>
      </c>
    </row>
    <row r="142" spans="8:19">
      <c r="H142" t="s">
        <v>183</v>
      </c>
      <c r="I142">
        <f t="shared" si="8"/>
        <v>4</v>
      </c>
      <c r="N142" t="str">
        <f t="shared" si="9"/>
        <v>{1,116}</v>
      </c>
      <c r="O142" t="str">
        <f t="shared" si="10"/>
        <v>{2,14}</v>
      </c>
      <c r="P142" t="str">
        <f t="shared" si="11"/>
        <v>{3,448}</v>
      </c>
      <c r="Q142" t="s">
        <v>454</v>
      </c>
      <c r="R142" t="s">
        <v>455</v>
      </c>
      <c r="S142" t="e">
        <f t="array" ref="S142">[2]!LKnum(N142:R142)</f>
        <v>#NAME?</v>
      </c>
    </row>
    <row r="143" spans="8:19">
      <c r="H143" t="s">
        <v>186</v>
      </c>
      <c r="I143">
        <f t="shared" si="8"/>
        <v>4</v>
      </c>
      <c r="N143" t="str">
        <f t="shared" si="9"/>
        <v>{1,116}</v>
      </c>
      <c r="O143" t="str">
        <f t="shared" si="10"/>
        <v>{2,14}</v>
      </c>
      <c r="P143" t="str">
        <f t="shared" si="11"/>
        <v>{3,448}</v>
      </c>
      <c r="Q143" t="s">
        <v>454</v>
      </c>
      <c r="R143" t="s">
        <v>455</v>
      </c>
      <c r="S143" t="e">
        <f t="array" ref="S143">[2]!LKnum(N143:R143)</f>
        <v>#NAME?</v>
      </c>
    </row>
    <row r="144" spans="8:19">
      <c r="H144" t="s">
        <v>189</v>
      </c>
      <c r="I144">
        <f t="shared" si="8"/>
        <v>2</v>
      </c>
      <c r="N144" t="str">
        <f t="shared" si="9"/>
        <v>{1,113}</v>
      </c>
      <c r="O144" t="str">
        <f t="shared" si="10"/>
        <v>{2,17}</v>
      </c>
      <c r="P144" t="str">
        <f t="shared" si="11"/>
        <v>{3,451}</v>
      </c>
      <c r="Q144" t="s">
        <v>454</v>
      </c>
      <c r="R144" t="s">
        <v>455</v>
      </c>
      <c r="S144" t="e">
        <f t="array" ref="S144">[2]!LKnum(N144:R144)</f>
        <v>#NAME?</v>
      </c>
    </row>
    <row r="145" spans="8:19">
      <c r="H145" t="s">
        <v>191</v>
      </c>
      <c r="I145">
        <f t="shared" si="8"/>
        <v>4</v>
      </c>
      <c r="N145" t="str">
        <f t="shared" si="9"/>
        <v>{1,116}</v>
      </c>
      <c r="O145" t="str">
        <f t="shared" si="10"/>
        <v>{2,14}</v>
      </c>
      <c r="P145" t="str">
        <f t="shared" si="11"/>
        <v>{3,448}</v>
      </c>
      <c r="Q145" t="s">
        <v>454</v>
      </c>
      <c r="R145" t="s">
        <v>455</v>
      </c>
      <c r="S145" t="e">
        <f t="array" ref="S145">[2]!LKnum(N145:R145)</f>
        <v>#NAME?</v>
      </c>
    </row>
    <row r="146" spans="8:19">
      <c r="H146" t="s">
        <v>194</v>
      </c>
      <c r="I146">
        <f t="shared" si="8"/>
        <v>1</v>
      </c>
      <c r="N146" t="str">
        <f t="shared" si="9"/>
        <v>{1,115}</v>
      </c>
      <c r="O146" t="str">
        <f t="shared" si="10"/>
        <v>{2,15}</v>
      </c>
      <c r="P146" t="str">
        <f t="shared" si="11"/>
        <v>{3,449}</v>
      </c>
      <c r="Q146" t="s">
        <v>454</v>
      </c>
      <c r="R146" t="s">
        <v>455</v>
      </c>
      <c r="S146" t="e">
        <f t="array" ref="S146">[2]!LKnum(N146:R146)</f>
        <v>#NAME?</v>
      </c>
    </row>
    <row r="147" spans="8:19">
      <c r="H147" t="s">
        <v>196</v>
      </c>
      <c r="I147">
        <f t="shared" si="8"/>
        <v>1</v>
      </c>
      <c r="N147" t="str">
        <f t="shared" si="9"/>
        <v>{1,115}</v>
      </c>
      <c r="O147" t="str">
        <f t="shared" si="10"/>
        <v>{2,15}</v>
      </c>
      <c r="P147" t="str">
        <f t="shared" si="11"/>
        <v>{3,449}</v>
      </c>
      <c r="Q147" t="s">
        <v>454</v>
      </c>
      <c r="R147" t="s">
        <v>455</v>
      </c>
      <c r="S147" t="e">
        <f t="array" ref="S147">[2]!LKnum(N147:R147)</f>
        <v>#NAME?</v>
      </c>
    </row>
    <row r="148" spans="8:19">
      <c r="H148" t="s">
        <v>198</v>
      </c>
      <c r="I148">
        <f t="shared" si="8"/>
        <v>4</v>
      </c>
      <c r="N148" t="str">
        <f t="shared" si="9"/>
        <v>{1,116}</v>
      </c>
      <c r="O148" t="str">
        <f t="shared" si="10"/>
        <v>{2,14}</v>
      </c>
      <c r="P148" t="str">
        <f t="shared" si="11"/>
        <v>{3,448}</v>
      </c>
      <c r="Q148" t="s">
        <v>454</v>
      </c>
      <c r="R148" t="s">
        <v>455</v>
      </c>
      <c r="S148" t="e">
        <f t="array" ref="S148">[2]!LKnum(N148:R148)</f>
        <v>#NAME?</v>
      </c>
    </row>
    <row r="149" spans="8:19">
      <c r="H149" t="s">
        <v>200</v>
      </c>
      <c r="I149">
        <f t="shared" si="8"/>
        <v>1</v>
      </c>
      <c r="N149" t="str">
        <f t="shared" si="9"/>
        <v>{1,115}</v>
      </c>
      <c r="O149" t="str">
        <f t="shared" si="10"/>
        <v>{2,15}</v>
      </c>
      <c r="P149" t="str">
        <f t="shared" si="11"/>
        <v>{3,449}</v>
      </c>
      <c r="Q149" t="s">
        <v>454</v>
      </c>
      <c r="R149" t="s">
        <v>455</v>
      </c>
      <c r="S149" t="e">
        <f t="array" ref="S149">[2]!LKnum(N149:R149)</f>
        <v>#NAME?</v>
      </c>
    </row>
    <row r="150" spans="8:19">
      <c r="H150" t="s">
        <v>202</v>
      </c>
      <c r="I150">
        <f t="shared" si="8"/>
        <v>4</v>
      </c>
      <c r="N150" t="str">
        <f t="shared" si="9"/>
        <v>{1,116}</v>
      </c>
      <c r="O150" t="str">
        <f t="shared" si="10"/>
        <v>{2,14}</v>
      </c>
      <c r="P150" t="str">
        <f t="shared" si="11"/>
        <v>{3,448}</v>
      </c>
      <c r="Q150" t="s">
        <v>454</v>
      </c>
      <c r="R150" t="s">
        <v>455</v>
      </c>
      <c r="S150" t="e">
        <f t="array" ref="S150">[2]!LKnum(N150:R150)</f>
        <v>#NAME?</v>
      </c>
    </row>
    <row r="151" spans="8:19">
      <c r="H151" t="s">
        <v>204</v>
      </c>
      <c r="I151">
        <f t="shared" si="8"/>
        <v>1</v>
      </c>
      <c r="N151" t="str">
        <f t="shared" si="9"/>
        <v>{1,115}</v>
      </c>
      <c r="O151" t="str">
        <f t="shared" si="10"/>
        <v>{2,15}</v>
      </c>
      <c r="P151" t="str">
        <f t="shared" si="11"/>
        <v>{3,449}</v>
      </c>
      <c r="Q151" t="s">
        <v>454</v>
      </c>
      <c r="R151" t="s">
        <v>455</v>
      </c>
      <c r="S151" t="e">
        <f t="array" ref="S151">[2]!LKnum(N151:R151)</f>
        <v>#NAME?</v>
      </c>
    </row>
    <row r="152" spans="8:19">
      <c r="H152" t="s">
        <v>207</v>
      </c>
      <c r="I152">
        <f t="shared" si="8"/>
        <v>1</v>
      </c>
      <c r="N152" t="str">
        <f t="shared" si="9"/>
        <v>{1,115}</v>
      </c>
      <c r="O152" t="str">
        <f t="shared" si="10"/>
        <v>{2,15}</v>
      </c>
      <c r="P152" t="str">
        <f t="shared" si="11"/>
        <v>{3,449}</v>
      </c>
      <c r="Q152" t="s">
        <v>454</v>
      </c>
      <c r="R152" t="s">
        <v>455</v>
      </c>
      <c r="S152" t="e">
        <f t="array" ref="S152">[2]!LKnum(N152:R152)</f>
        <v>#NAME?</v>
      </c>
    </row>
    <row r="153" spans="8:19">
      <c r="H153" t="s">
        <v>210</v>
      </c>
      <c r="I153">
        <f t="shared" si="8"/>
        <v>4</v>
      </c>
      <c r="N153" t="str">
        <f t="shared" si="9"/>
        <v>{1,116}</v>
      </c>
      <c r="O153" t="str">
        <f t="shared" si="10"/>
        <v>{2,14}</v>
      </c>
      <c r="P153" t="str">
        <f t="shared" si="11"/>
        <v>{3,448}</v>
      </c>
      <c r="Q153" t="s">
        <v>454</v>
      </c>
      <c r="R153" t="s">
        <v>455</v>
      </c>
      <c r="S153" t="e">
        <f t="array" ref="S153">[2]!LKnum(N153:R153)</f>
        <v>#NAME?</v>
      </c>
    </row>
    <row r="154" spans="8:19">
      <c r="H154" t="s">
        <v>213</v>
      </c>
      <c r="I154">
        <f t="shared" si="8"/>
        <v>2</v>
      </c>
      <c r="N154" t="str">
        <f t="shared" si="9"/>
        <v>{1,113}</v>
      </c>
      <c r="O154" t="str">
        <f t="shared" si="10"/>
        <v>{2,17}</v>
      </c>
      <c r="P154" t="str">
        <f t="shared" si="11"/>
        <v>{3,451}</v>
      </c>
      <c r="Q154" t="s">
        <v>454</v>
      </c>
      <c r="R154" t="s">
        <v>455</v>
      </c>
      <c r="S154" t="e">
        <f t="array" ref="S154">[2]!LKnum(N154:R154)</f>
        <v>#NAME?</v>
      </c>
    </row>
    <row r="155" spans="8:19">
      <c r="H155" t="s">
        <v>215</v>
      </c>
      <c r="I155">
        <f t="shared" si="8"/>
        <v>4</v>
      </c>
      <c r="N155" t="str">
        <f t="shared" si="9"/>
        <v>{1,116}</v>
      </c>
      <c r="O155" t="str">
        <f t="shared" si="10"/>
        <v>{2,14}</v>
      </c>
      <c r="P155" t="str">
        <f t="shared" si="11"/>
        <v>{3,448}</v>
      </c>
      <c r="Q155" t="s">
        <v>454</v>
      </c>
      <c r="R155" t="s">
        <v>455</v>
      </c>
      <c r="S155" t="e">
        <f t="array" ref="S155">[2]!LKnum(N155:R155)</f>
        <v>#NAME?</v>
      </c>
    </row>
    <row r="156" spans="8:19">
      <c r="H156" t="s">
        <v>219</v>
      </c>
      <c r="I156">
        <f t="shared" si="8"/>
        <v>1</v>
      </c>
      <c r="N156" t="str">
        <f t="shared" si="9"/>
        <v>{1,115}</v>
      </c>
      <c r="O156" t="str">
        <f t="shared" si="10"/>
        <v>{2,15}</v>
      </c>
      <c r="P156" t="str">
        <f t="shared" si="11"/>
        <v>{3,449}</v>
      </c>
      <c r="Q156" t="s">
        <v>454</v>
      </c>
      <c r="R156" t="s">
        <v>455</v>
      </c>
      <c r="S156" t="e">
        <f t="array" ref="S156">[2]!LKnum(N156:R156)</f>
        <v>#NAME?</v>
      </c>
    </row>
    <row r="157" spans="8:19">
      <c r="H157" t="s">
        <v>222</v>
      </c>
      <c r="I157">
        <f t="shared" si="8"/>
        <v>1</v>
      </c>
      <c r="N157" t="str">
        <f t="shared" si="9"/>
        <v>{1,115}</v>
      </c>
      <c r="O157" t="str">
        <f t="shared" si="10"/>
        <v>{2,15}</v>
      </c>
      <c r="P157" t="str">
        <f t="shared" si="11"/>
        <v>{3,449}</v>
      </c>
      <c r="Q157" t="s">
        <v>454</v>
      </c>
      <c r="R157" t="s">
        <v>455</v>
      </c>
      <c r="S157" t="e">
        <f t="array" ref="S157">[2]!LKnum(N157:R157)</f>
        <v>#NAME?</v>
      </c>
    </row>
    <row r="158" spans="8:19">
      <c r="H158" t="s">
        <v>226</v>
      </c>
      <c r="I158">
        <f t="shared" si="8"/>
        <v>1</v>
      </c>
      <c r="N158" t="str">
        <f t="shared" si="9"/>
        <v>{1,115}</v>
      </c>
      <c r="O158" t="str">
        <f t="shared" si="10"/>
        <v>{2,15}</v>
      </c>
      <c r="P158" t="str">
        <f t="shared" si="11"/>
        <v>{3,449}</v>
      </c>
      <c r="Q158" t="s">
        <v>454</v>
      </c>
      <c r="R158" t="s">
        <v>455</v>
      </c>
      <c r="S158" t="e">
        <f t="array" ref="S158">[2]!LKnum(N158:R158)</f>
        <v>#NAME?</v>
      </c>
    </row>
    <row r="159" spans="8:19">
      <c r="H159" t="s">
        <v>319</v>
      </c>
      <c r="I159">
        <f t="shared" si="8"/>
        <v>2</v>
      </c>
      <c r="N159" t="str">
        <f t="shared" si="9"/>
        <v>{1,113}</v>
      </c>
      <c r="O159" t="str">
        <f t="shared" si="10"/>
        <v>{2,17}</v>
      </c>
      <c r="P159" t="str">
        <f t="shared" si="11"/>
        <v>{3,451}</v>
      </c>
      <c r="Q159" t="s">
        <v>454</v>
      </c>
      <c r="R159" t="s">
        <v>455</v>
      </c>
      <c r="S159" t="e">
        <f t="array" ref="S159">[2]!LKnum(N159:R159)</f>
        <v>#NAME?</v>
      </c>
    </row>
    <row r="160" spans="8:19">
      <c r="H160" t="s">
        <v>231</v>
      </c>
      <c r="I160">
        <f t="shared" si="8"/>
        <v>2</v>
      </c>
      <c r="N160" t="str">
        <f t="shared" si="9"/>
        <v>{1,113}</v>
      </c>
      <c r="O160" t="str">
        <f t="shared" si="10"/>
        <v>{2,17}</v>
      </c>
      <c r="P160" t="str">
        <f t="shared" si="11"/>
        <v>{3,451}</v>
      </c>
      <c r="Q160" t="s">
        <v>454</v>
      </c>
      <c r="R160" t="s">
        <v>455</v>
      </c>
      <c r="S160" t="e">
        <f t="array" ref="S160">[2]!LKnum(N160:R160)</f>
        <v>#NAME?</v>
      </c>
    </row>
    <row r="161" spans="8:19">
      <c r="H161" t="s">
        <v>234</v>
      </c>
      <c r="I161">
        <f t="shared" si="8"/>
        <v>4</v>
      </c>
      <c r="N161" t="str">
        <f t="shared" si="9"/>
        <v>{1,116}</v>
      </c>
      <c r="O161" t="str">
        <f t="shared" si="10"/>
        <v>{2,14}</v>
      </c>
      <c r="P161" t="str">
        <f t="shared" si="11"/>
        <v>{3,448}</v>
      </c>
      <c r="Q161" t="s">
        <v>454</v>
      </c>
      <c r="R161" t="s">
        <v>455</v>
      </c>
      <c r="S161" t="e">
        <f t="array" ref="S161">[2]!LKnum(N161:R161)</f>
        <v>#NAME?</v>
      </c>
    </row>
    <row r="162" spans="8:19">
      <c r="H162" t="s">
        <v>236</v>
      </c>
      <c r="I162">
        <f t="shared" si="8"/>
        <v>3</v>
      </c>
      <c r="N162" t="str">
        <f t="shared" si="9"/>
        <v>{1,114}</v>
      </c>
      <c r="O162" t="str">
        <f t="shared" si="10"/>
        <v>{2,16}</v>
      </c>
      <c r="P162" t="str">
        <f t="shared" si="11"/>
        <v>{3,450}</v>
      </c>
      <c r="Q162" t="s">
        <v>454</v>
      </c>
      <c r="R162" t="s">
        <v>455</v>
      </c>
      <c r="S162" t="e">
        <f t="array" ref="S162">[2]!LKnum(N162:R162)</f>
        <v>#NAME?</v>
      </c>
    </row>
    <row r="163" spans="8:19">
      <c r="H163" t="s">
        <v>239</v>
      </c>
      <c r="I163">
        <f t="shared" si="8"/>
        <v>3</v>
      </c>
      <c r="N163" t="str">
        <f t="shared" si="9"/>
        <v>{1,114}</v>
      </c>
      <c r="O163" t="str">
        <f t="shared" si="10"/>
        <v>{2,16}</v>
      </c>
      <c r="P163" t="str">
        <f t="shared" si="11"/>
        <v>{3,450}</v>
      </c>
      <c r="Q163" t="s">
        <v>454</v>
      </c>
      <c r="R163" t="s">
        <v>455</v>
      </c>
      <c r="S163" t="e">
        <f t="array" ref="S163">[2]!LKnum(N163:R163)</f>
        <v>#NAME?</v>
      </c>
    </row>
    <row r="164" spans="8:19">
      <c r="H164" t="s">
        <v>242</v>
      </c>
      <c r="I164">
        <f t="shared" si="8"/>
        <v>4</v>
      </c>
      <c r="N164" t="str">
        <f t="shared" si="9"/>
        <v>{1,116}</v>
      </c>
      <c r="O164" t="str">
        <f t="shared" si="10"/>
        <v>{2,14}</v>
      </c>
      <c r="P164" t="str">
        <f t="shared" si="11"/>
        <v>{3,448}</v>
      </c>
      <c r="Q164" t="s">
        <v>454</v>
      </c>
      <c r="R164" t="s">
        <v>455</v>
      </c>
      <c r="S164" t="e">
        <f t="array" ref="S164">[2]!LKnum(N164:R164)</f>
        <v>#NAME?</v>
      </c>
    </row>
    <row r="165" spans="8:19">
      <c r="H165" t="s">
        <v>244</v>
      </c>
      <c r="I165">
        <f t="shared" si="8"/>
        <v>3</v>
      </c>
      <c r="N165" t="str">
        <f t="shared" si="9"/>
        <v>{1,114}</v>
      </c>
      <c r="O165" t="str">
        <f t="shared" si="10"/>
        <v>{2,16}</v>
      </c>
      <c r="P165" t="str">
        <f t="shared" si="11"/>
        <v>{3,450}</v>
      </c>
      <c r="Q165" t="s">
        <v>454</v>
      </c>
      <c r="R165" t="s">
        <v>455</v>
      </c>
      <c r="S165" t="e">
        <f t="array" ref="S165">[2]!LKnum(N165:R165)</f>
        <v>#NAME?</v>
      </c>
    </row>
    <row r="166" spans="8:19">
      <c r="H166" t="s">
        <v>246</v>
      </c>
      <c r="I166">
        <f t="shared" si="8"/>
        <v>1</v>
      </c>
      <c r="N166" t="str">
        <f t="shared" si="9"/>
        <v>{1,115}</v>
      </c>
      <c r="O166" t="str">
        <f t="shared" si="10"/>
        <v>{2,15}</v>
      </c>
      <c r="P166" t="str">
        <f t="shared" si="11"/>
        <v>{3,449}</v>
      </c>
      <c r="Q166" t="s">
        <v>454</v>
      </c>
      <c r="R166" t="s">
        <v>455</v>
      </c>
      <c r="S166" t="e">
        <f t="array" ref="S166">[2]!LKnum(N166:R166)</f>
        <v>#NAME?</v>
      </c>
    </row>
    <row r="167" spans="8:19">
      <c r="H167" t="s">
        <v>249</v>
      </c>
      <c r="I167">
        <f t="shared" si="8"/>
        <v>2</v>
      </c>
      <c r="N167" t="str">
        <f t="shared" si="9"/>
        <v>{1,113}</v>
      </c>
      <c r="O167" t="str">
        <f t="shared" si="10"/>
        <v>{2,17}</v>
      </c>
      <c r="P167" t="str">
        <f t="shared" si="11"/>
        <v>{3,451}</v>
      </c>
      <c r="Q167" t="s">
        <v>454</v>
      </c>
      <c r="R167" t="s">
        <v>455</v>
      </c>
      <c r="S167" t="e">
        <f t="array" ref="S167">[2]!LKnum(N167:R167)</f>
        <v>#NAME?</v>
      </c>
    </row>
    <row r="168" spans="8:19">
      <c r="H168" t="s">
        <v>251</v>
      </c>
      <c r="I168">
        <f t="shared" si="8"/>
        <v>3</v>
      </c>
      <c r="N168" t="str">
        <f t="shared" si="9"/>
        <v>{1,114}</v>
      </c>
      <c r="O168" t="str">
        <f t="shared" si="10"/>
        <v>{2,16}</v>
      </c>
      <c r="P168" t="str">
        <f t="shared" si="11"/>
        <v>{3,450}</v>
      </c>
      <c r="Q168" t="s">
        <v>454</v>
      </c>
      <c r="R168" t="s">
        <v>455</v>
      </c>
      <c r="S168" t="e">
        <f t="array" ref="S168">[2]!LKnum(N168:R168)</f>
        <v>#NAME?</v>
      </c>
    </row>
    <row r="169" spans="8:19">
      <c r="H169" t="s">
        <v>253</v>
      </c>
      <c r="I169">
        <f t="shared" si="8"/>
        <v>2</v>
      </c>
      <c r="N169" t="str">
        <f t="shared" si="9"/>
        <v>{1,113}</v>
      </c>
      <c r="O169" t="str">
        <f t="shared" si="10"/>
        <v>{2,17}</v>
      </c>
      <c r="P169" t="str">
        <f t="shared" si="11"/>
        <v>{3,451}</v>
      </c>
      <c r="Q169" t="s">
        <v>454</v>
      </c>
      <c r="R169" t="s">
        <v>455</v>
      </c>
      <c r="S169" t="e">
        <f t="array" ref="S169">[2]!LKnum(N169:R169)</f>
        <v>#NAME?</v>
      </c>
    </row>
    <row r="170" spans="8:19">
      <c r="H170" t="s">
        <v>256</v>
      </c>
      <c r="I170">
        <f t="shared" si="8"/>
        <v>3</v>
      </c>
      <c r="N170" t="str">
        <f t="shared" si="9"/>
        <v>{1,114}</v>
      </c>
      <c r="O170" t="str">
        <f t="shared" si="10"/>
        <v>{2,16}</v>
      </c>
      <c r="P170" t="str">
        <f t="shared" si="11"/>
        <v>{3,450}</v>
      </c>
      <c r="Q170" t="s">
        <v>454</v>
      </c>
      <c r="R170" t="s">
        <v>455</v>
      </c>
      <c r="S170" t="e">
        <f t="array" ref="S170">[2]!LKnum(N170:R170)</f>
        <v>#NAME?</v>
      </c>
    </row>
    <row r="171" spans="8:19">
      <c r="H171" t="s">
        <v>257</v>
      </c>
      <c r="I171">
        <f t="shared" si="8"/>
        <v>2</v>
      </c>
      <c r="N171" t="str">
        <f t="shared" si="9"/>
        <v>{1,113}</v>
      </c>
      <c r="O171" t="str">
        <f t="shared" si="10"/>
        <v>{2,17}</v>
      </c>
      <c r="P171" t="str">
        <f t="shared" si="11"/>
        <v>{3,451}</v>
      </c>
      <c r="Q171" t="s">
        <v>454</v>
      </c>
      <c r="R171" t="s">
        <v>455</v>
      </c>
      <c r="S171" t="e">
        <f t="array" ref="S171">[2]!LKnum(N171:R171)</f>
        <v>#NAME?</v>
      </c>
    </row>
    <row r="172" spans="8:19">
      <c r="H172" t="s">
        <v>32</v>
      </c>
      <c r="I172">
        <f t="shared" si="8"/>
        <v>4</v>
      </c>
      <c r="N172" t="str">
        <f t="shared" si="9"/>
        <v>{1,116}</v>
      </c>
      <c r="O172" t="str">
        <f t="shared" si="10"/>
        <v>{2,14}</v>
      </c>
      <c r="P172" t="str">
        <f t="shared" si="11"/>
        <v>{3,448}</v>
      </c>
      <c r="Q172" t="s">
        <v>454</v>
      </c>
      <c r="R172" t="s">
        <v>455</v>
      </c>
      <c r="S172" t="e">
        <f t="array" ref="S172">[2]!LKnum(N172:R172)</f>
        <v>#NAME?</v>
      </c>
    </row>
    <row r="173" spans="8:19">
      <c r="H173" t="s">
        <v>36</v>
      </c>
      <c r="I173">
        <f t="shared" si="8"/>
        <v>2</v>
      </c>
      <c r="N173" t="str">
        <f t="shared" si="9"/>
        <v>{1,113}</v>
      </c>
      <c r="O173" t="str">
        <f t="shared" si="10"/>
        <v>{2,17}</v>
      </c>
      <c r="P173" t="str">
        <f t="shared" si="11"/>
        <v>{3,451}</v>
      </c>
      <c r="Q173" t="s">
        <v>454</v>
      </c>
      <c r="R173" t="s">
        <v>455</v>
      </c>
      <c r="S173" t="e">
        <f t="array" ref="S173">[2]!LKnum(N173:R173)</f>
        <v>#NAME?</v>
      </c>
    </row>
    <row r="174" spans="8:19">
      <c r="H174" t="s">
        <v>40</v>
      </c>
      <c r="I174">
        <f t="shared" si="8"/>
        <v>1</v>
      </c>
      <c r="N174" t="str">
        <f t="shared" si="9"/>
        <v>{1,115}</v>
      </c>
      <c r="O174" t="str">
        <f t="shared" si="10"/>
        <v>{2,15}</v>
      </c>
      <c r="P174" t="str">
        <f t="shared" si="11"/>
        <v>{3,449}</v>
      </c>
      <c r="Q174" t="s">
        <v>454</v>
      </c>
      <c r="R174" t="s">
        <v>455</v>
      </c>
      <c r="S174" t="e">
        <f t="array" ref="S174">[2]!LKnum(N174:R174)</f>
        <v>#NAME?</v>
      </c>
    </row>
    <row r="175" spans="8:19">
      <c r="H175" t="s">
        <v>43</v>
      </c>
      <c r="I175">
        <f t="shared" si="8"/>
        <v>1</v>
      </c>
      <c r="N175" t="str">
        <f t="shared" si="9"/>
        <v>{1,115}</v>
      </c>
      <c r="O175" t="str">
        <f t="shared" si="10"/>
        <v>{2,15}</v>
      </c>
      <c r="P175" t="str">
        <f t="shared" si="11"/>
        <v>{3,449}</v>
      </c>
      <c r="Q175" t="s">
        <v>454</v>
      </c>
      <c r="R175" t="s">
        <v>455</v>
      </c>
      <c r="S175" t="e">
        <f t="array" ref="S175">[2]!LKnum(N175:R175)</f>
        <v>#NAME?</v>
      </c>
    </row>
    <row r="176" spans="8:19">
      <c r="H176" t="s">
        <v>299</v>
      </c>
      <c r="I176">
        <f t="shared" si="8"/>
        <v>2</v>
      </c>
      <c r="N176" t="str">
        <f t="shared" si="9"/>
        <v>{1,113}</v>
      </c>
      <c r="O176" t="str">
        <f t="shared" si="10"/>
        <v>{2,17}</v>
      </c>
      <c r="P176" t="str">
        <f t="shared" si="11"/>
        <v>{3,451}</v>
      </c>
      <c r="Q176" t="s">
        <v>454</v>
      </c>
      <c r="R176" t="s">
        <v>455</v>
      </c>
      <c r="S176" t="e">
        <f t="array" ref="S176">[2]!LKnum(N176:R176)</f>
        <v>#NAME?</v>
      </c>
    </row>
    <row r="177" spans="8:19">
      <c r="H177" t="s">
        <v>46</v>
      </c>
      <c r="I177">
        <f t="shared" si="8"/>
        <v>4</v>
      </c>
      <c r="N177" t="str">
        <f t="shared" si="9"/>
        <v>{1,116}</v>
      </c>
      <c r="O177" t="str">
        <f t="shared" si="10"/>
        <v>{2,14}</v>
      </c>
      <c r="P177" t="str">
        <f t="shared" si="11"/>
        <v>{3,448}</v>
      </c>
      <c r="Q177" t="s">
        <v>454</v>
      </c>
      <c r="R177" t="s">
        <v>455</v>
      </c>
      <c r="S177" t="e">
        <f t="array" ref="S177">[2]!LKnum(N177:R177)</f>
        <v>#NAME?</v>
      </c>
    </row>
    <row r="178" spans="8:19">
      <c r="H178" t="s">
        <v>50</v>
      </c>
      <c r="I178">
        <f t="shared" si="8"/>
        <v>3</v>
      </c>
      <c r="N178" t="str">
        <f t="shared" si="9"/>
        <v>{1,114}</v>
      </c>
      <c r="O178" t="str">
        <f t="shared" si="10"/>
        <v>{2,16}</v>
      </c>
      <c r="P178" t="str">
        <f t="shared" si="11"/>
        <v>{3,450}</v>
      </c>
      <c r="Q178" t="s">
        <v>454</v>
      </c>
      <c r="R178" t="s">
        <v>455</v>
      </c>
      <c r="S178" t="e">
        <f t="array" ref="S178">[2]!LKnum(N178:R178)</f>
        <v>#NAME?</v>
      </c>
    </row>
    <row r="179" spans="8:19">
      <c r="H179" t="s">
        <v>53</v>
      </c>
      <c r="I179">
        <f t="shared" si="8"/>
        <v>4</v>
      </c>
      <c r="N179" t="str">
        <f t="shared" si="9"/>
        <v>{1,116}</v>
      </c>
      <c r="O179" t="str">
        <f t="shared" si="10"/>
        <v>{2,14}</v>
      </c>
      <c r="P179" t="str">
        <f t="shared" si="11"/>
        <v>{3,448}</v>
      </c>
      <c r="Q179" t="s">
        <v>454</v>
      </c>
      <c r="R179" t="s">
        <v>455</v>
      </c>
      <c r="S179" t="e">
        <f t="array" ref="S179">[2]!LKnum(N179:R179)</f>
        <v>#NAME?</v>
      </c>
    </row>
    <row r="180" spans="8:19">
      <c r="H180" t="s">
        <v>300</v>
      </c>
      <c r="I180">
        <f t="shared" si="8"/>
        <v>3</v>
      </c>
      <c r="N180" t="str">
        <f t="shared" si="9"/>
        <v>{1,114}</v>
      </c>
      <c r="O180" t="str">
        <f t="shared" si="10"/>
        <v>{2,16}</v>
      </c>
      <c r="P180" t="str">
        <f t="shared" si="11"/>
        <v>{3,450}</v>
      </c>
      <c r="Q180" t="s">
        <v>454</v>
      </c>
      <c r="R180" t="s">
        <v>455</v>
      </c>
      <c r="S180" t="e">
        <f t="array" ref="S180">[2]!LKnum(N180:R180)</f>
        <v>#NAME?</v>
      </c>
    </row>
    <row r="181" spans="8:19">
      <c r="H181" t="s">
        <v>301</v>
      </c>
      <c r="I181">
        <f t="shared" si="8"/>
        <v>4</v>
      </c>
      <c r="N181" t="str">
        <f t="shared" si="9"/>
        <v>{1,116}</v>
      </c>
      <c r="O181" t="str">
        <f t="shared" si="10"/>
        <v>{2,14}</v>
      </c>
      <c r="P181" t="str">
        <f t="shared" si="11"/>
        <v>{3,448}</v>
      </c>
      <c r="Q181" t="s">
        <v>454</v>
      </c>
      <c r="R181" t="s">
        <v>455</v>
      </c>
      <c r="S181" t="e">
        <f t="array" ref="S181">[2]!LKnum(N181:R181)</f>
        <v>#NAME?</v>
      </c>
    </row>
    <row r="182" spans="8:19">
      <c r="H182" t="s">
        <v>57</v>
      </c>
      <c r="I182">
        <f t="shared" si="8"/>
        <v>2</v>
      </c>
      <c r="N182" t="str">
        <f t="shared" si="9"/>
        <v>{1,113}</v>
      </c>
      <c r="O182" t="str">
        <f t="shared" si="10"/>
        <v>{2,17}</v>
      </c>
      <c r="P182" t="str">
        <f t="shared" si="11"/>
        <v>{3,451}</v>
      </c>
      <c r="Q182" t="s">
        <v>454</v>
      </c>
      <c r="R182" t="s">
        <v>455</v>
      </c>
      <c r="S182" t="e">
        <f t="array" ref="S182">[2]!LKnum(N182:R182)</f>
        <v>#NAME?</v>
      </c>
    </row>
    <row r="183" spans="8:19">
      <c r="H183" t="s">
        <v>60</v>
      </c>
      <c r="I183">
        <f t="shared" si="8"/>
        <v>2</v>
      </c>
      <c r="N183" t="str">
        <f t="shared" si="9"/>
        <v>{1,113}</v>
      </c>
      <c r="O183" t="str">
        <f t="shared" si="10"/>
        <v>{2,17}</v>
      </c>
      <c r="P183" t="str">
        <f t="shared" si="11"/>
        <v>{3,451}</v>
      </c>
      <c r="Q183" t="s">
        <v>454</v>
      </c>
      <c r="R183" t="s">
        <v>455</v>
      </c>
      <c r="S183" t="e">
        <f t="array" ref="S183">[2]!LKnum(N183:R183)</f>
        <v>#NAME?</v>
      </c>
    </row>
    <row r="184" spans="8:19">
      <c r="H184" t="s">
        <v>64</v>
      </c>
      <c r="I184">
        <f t="shared" si="8"/>
        <v>1</v>
      </c>
      <c r="N184" t="str">
        <f t="shared" si="9"/>
        <v>{1,115}</v>
      </c>
      <c r="O184" t="str">
        <f t="shared" si="10"/>
        <v>{2,15}</v>
      </c>
      <c r="P184" t="str">
        <f t="shared" si="11"/>
        <v>{3,449}</v>
      </c>
      <c r="Q184" t="s">
        <v>454</v>
      </c>
      <c r="R184" t="s">
        <v>455</v>
      </c>
      <c r="S184" t="e">
        <f t="array" ref="S184">[2]!LKnum(N184:R184)</f>
        <v>#NAME?</v>
      </c>
    </row>
    <row r="185" spans="8:19">
      <c r="H185" t="s">
        <v>68</v>
      </c>
      <c r="I185">
        <f t="shared" si="8"/>
        <v>1</v>
      </c>
      <c r="N185" t="str">
        <f t="shared" si="9"/>
        <v>{1,115}</v>
      </c>
      <c r="O185" t="str">
        <f t="shared" si="10"/>
        <v>{2,15}</v>
      </c>
      <c r="P185" t="str">
        <f t="shared" si="11"/>
        <v>{3,449}</v>
      </c>
      <c r="Q185" t="s">
        <v>454</v>
      </c>
      <c r="R185" t="s">
        <v>455</v>
      </c>
      <c r="S185" t="e">
        <f t="array" ref="S185">[2]!LKnum(N185:R185)</f>
        <v>#NAME?</v>
      </c>
    </row>
    <row r="186" spans="8:19">
      <c r="H186" t="s">
        <v>72</v>
      </c>
      <c r="I186">
        <f t="shared" si="8"/>
        <v>4</v>
      </c>
      <c r="N186" t="str">
        <f t="shared" si="9"/>
        <v>{1,116}</v>
      </c>
      <c r="O186" t="str">
        <f t="shared" si="10"/>
        <v>{2,14}</v>
      </c>
      <c r="P186" t="str">
        <f t="shared" si="11"/>
        <v>{3,448}</v>
      </c>
      <c r="Q186" t="s">
        <v>454</v>
      </c>
      <c r="R186" t="s">
        <v>455</v>
      </c>
      <c r="S186" t="e">
        <f t="array" ref="S186">[2]!LKnum(N186:R186)</f>
        <v>#NAME?</v>
      </c>
    </row>
    <row r="187" spans="8:19">
      <c r="H187" t="s">
        <v>75</v>
      </c>
      <c r="I187">
        <f t="shared" si="8"/>
        <v>4</v>
      </c>
      <c r="N187" t="str">
        <f t="shared" si="9"/>
        <v>{1,116}</v>
      </c>
      <c r="O187" t="str">
        <f t="shared" si="10"/>
        <v>{2,14}</v>
      </c>
      <c r="P187" t="str">
        <f t="shared" si="11"/>
        <v>{3,448}</v>
      </c>
      <c r="Q187" t="s">
        <v>454</v>
      </c>
      <c r="R187" t="s">
        <v>455</v>
      </c>
      <c r="S187" t="e">
        <f t="array" ref="S187">[2]!LKnum(N187:R187)</f>
        <v>#NAME?</v>
      </c>
    </row>
    <row r="188" spans="8:19">
      <c r="H188" t="s">
        <v>302</v>
      </c>
      <c r="I188">
        <f t="shared" si="8"/>
        <v>1</v>
      </c>
      <c r="N188" t="str">
        <f t="shared" si="9"/>
        <v>{1,115}</v>
      </c>
      <c r="O188" t="str">
        <f t="shared" si="10"/>
        <v>{2,15}</v>
      </c>
      <c r="P188" t="str">
        <f t="shared" si="11"/>
        <v>{3,449}</v>
      </c>
      <c r="Q188" t="s">
        <v>454</v>
      </c>
      <c r="R188" t="s">
        <v>455</v>
      </c>
      <c r="S188" t="e">
        <f t="array" ref="S188">[2]!LKnum(N188:R188)</f>
        <v>#NAME?</v>
      </c>
    </row>
    <row r="189" spans="8:19">
      <c r="H189" t="s">
        <v>77</v>
      </c>
      <c r="I189">
        <f t="shared" si="8"/>
        <v>1</v>
      </c>
      <c r="N189" t="str">
        <f t="shared" si="9"/>
        <v>{1,115}</v>
      </c>
      <c r="O189" t="str">
        <f t="shared" si="10"/>
        <v>{2,15}</v>
      </c>
      <c r="P189" t="str">
        <f t="shared" si="11"/>
        <v>{3,449}</v>
      </c>
      <c r="Q189" t="s">
        <v>454</v>
      </c>
      <c r="R189" t="s">
        <v>455</v>
      </c>
      <c r="S189" t="e">
        <f t="array" ref="S189">[2]!LKnum(N189:R189)</f>
        <v>#NAME?</v>
      </c>
    </row>
    <row r="190" spans="8:19">
      <c r="H190" t="s">
        <v>81</v>
      </c>
      <c r="I190">
        <f t="shared" si="8"/>
        <v>4</v>
      </c>
      <c r="N190" t="str">
        <f t="shared" si="9"/>
        <v>{1,116}</v>
      </c>
      <c r="O190" t="str">
        <f t="shared" si="10"/>
        <v>{2,14}</v>
      </c>
      <c r="P190" t="str">
        <f t="shared" si="11"/>
        <v>{3,448}</v>
      </c>
      <c r="Q190" t="s">
        <v>454</v>
      </c>
      <c r="R190" t="s">
        <v>455</v>
      </c>
      <c r="S190" t="e">
        <f t="array" ref="S190">[2]!LKnum(N190:R190)</f>
        <v>#NAME?</v>
      </c>
    </row>
    <row r="191" spans="8:19">
      <c r="H191" t="s">
        <v>85</v>
      </c>
      <c r="I191">
        <f t="shared" si="8"/>
        <v>2</v>
      </c>
      <c r="N191" t="str">
        <f t="shared" si="9"/>
        <v>{1,113}</v>
      </c>
      <c r="O191" t="str">
        <f t="shared" si="10"/>
        <v>{2,17}</v>
      </c>
      <c r="P191" t="str">
        <f t="shared" si="11"/>
        <v>{3,451}</v>
      </c>
      <c r="Q191" t="s">
        <v>454</v>
      </c>
      <c r="R191" t="s">
        <v>455</v>
      </c>
      <c r="S191" t="e">
        <f t="array" ref="S191">[2]!LKnum(N191:R191)</f>
        <v>#NAME?</v>
      </c>
    </row>
    <row r="192" spans="8:19">
      <c r="H192" t="s">
        <v>89</v>
      </c>
      <c r="I192">
        <f t="shared" si="8"/>
        <v>4</v>
      </c>
      <c r="N192" t="str">
        <f t="shared" si="9"/>
        <v>{1,116}</v>
      </c>
      <c r="O192" t="str">
        <f t="shared" si="10"/>
        <v>{2,14}</v>
      </c>
      <c r="P192" t="str">
        <f t="shared" si="11"/>
        <v>{3,448}</v>
      </c>
      <c r="Q192" t="s">
        <v>454</v>
      </c>
      <c r="R192" t="s">
        <v>455</v>
      </c>
      <c r="S192" t="e">
        <f t="array" ref="S192">[2]!LKnum(N192:R192)</f>
        <v>#NAME?</v>
      </c>
    </row>
    <row r="193" spans="8:19">
      <c r="H193" t="s">
        <v>92</v>
      </c>
      <c r="I193">
        <f t="shared" si="8"/>
        <v>2</v>
      </c>
      <c r="N193" t="str">
        <f t="shared" si="9"/>
        <v>{1,113}</v>
      </c>
      <c r="O193" t="str">
        <f t="shared" si="10"/>
        <v>{2,17}</v>
      </c>
      <c r="P193" t="str">
        <f t="shared" si="11"/>
        <v>{3,451}</v>
      </c>
      <c r="Q193" t="s">
        <v>454</v>
      </c>
      <c r="R193" t="s">
        <v>455</v>
      </c>
      <c r="S193" t="e">
        <f t="array" ref="S193">[2]!LKnum(N193:R193)</f>
        <v>#NAME?</v>
      </c>
    </row>
    <row r="194" spans="8:19">
      <c r="H194" t="s">
        <v>96</v>
      </c>
      <c r="I194">
        <f t="shared" si="8"/>
        <v>3</v>
      </c>
      <c r="N194" t="str">
        <f t="shared" si="9"/>
        <v>{1,114}</v>
      </c>
      <c r="O194" t="str">
        <f t="shared" si="10"/>
        <v>{2,16}</v>
      </c>
      <c r="P194" t="str">
        <f t="shared" si="11"/>
        <v>{3,450}</v>
      </c>
      <c r="Q194" t="s">
        <v>454</v>
      </c>
      <c r="R194" t="s">
        <v>455</v>
      </c>
      <c r="S194" t="e">
        <f t="array" ref="S194">[2]!LKnum(N194:R194)</f>
        <v>#NAME?</v>
      </c>
    </row>
    <row r="195" spans="8:19">
      <c r="H195" t="s">
        <v>99</v>
      </c>
      <c r="I195">
        <f t="shared" ref="I195:I257" si="12">VLOOKUP(H195,$K$2:$L$102,2,0)</f>
        <v>1</v>
      </c>
      <c r="N195" t="str">
        <f t="shared" ref="N195:N257" si="13">VLOOKUP(I195,$C$88:$F$91,2,0)</f>
        <v>{1,115}</v>
      </c>
      <c r="O195" t="str">
        <f t="shared" ref="O195:O257" si="14">VLOOKUP(I195,$C$88:$F$91,3,0)</f>
        <v>{2,15}</v>
      </c>
      <c r="P195" t="str">
        <f t="shared" ref="P195:P257" si="15">VLOOKUP(I195,$C$88:$F$91,4,0)</f>
        <v>{3,449}</v>
      </c>
      <c r="Q195" t="s">
        <v>454</v>
      </c>
      <c r="R195" t="s">
        <v>455</v>
      </c>
      <c r="S195" t="e">
        <f t="array" ref="S195">[2]!LKnum(N195:R195)</f>
        <v>#NAME?</v>
      </c>
    </row>
    <row r="196" spans="8:19">
      <c r="H196" t="s">
        <v>102</v>
      </c>
      <c r="I196">
        <f t="shared" si="12"/>
        <v>2</v>
      </c>
      <c r="N196" t="str">
        <f t="shared" si="13"/>
        <v>{1,113}</v>
      </c>
      <c r="O196" t="str">
        <f t="shared" si="14"/>
        <v>{2,17}</v>
      </c>
      <c r="P196" t="str">
        <f t="shared" si="15"/>
        <v>{3,451}</v>
      </c>
      <c r="Q196" t="s">
        <v>454</v>
      </c>
      <c r="R196" t="s">
        <v>455</v>
      </c>
      <c r="S196" t="e">
        <f t="array" ref="S196">[2]!LKnum(N196:R196)</f>
        <v>#NAME?</v>
      </c>
    </row>
    <row r="197" spans="8:19">
      <c r="H197" t="s">
        <v>105</v>
      </c>
      <c r="I197">
        <f t="shared" si="12"/>
        <v>1</v>
      </c>
      <c r="N197" t="str">
        <f t="shared" si="13"/>
        <v>{1,115}</v>
      </c>
      <c r="O197" t="str">
        <f t="shared" si="14"/>
        <v>{2,15}</v>
      </c>
      <c r="P197" t="str">
        <f t="shared" si="15"/>
        <v>{3,449}</v>
      </c>
      <c r="Q197" t="s">
        <v>454</v>
      </c>
      <c r="R197" t="s">
        <v>455</v>
      </c>
      <c r="S197" t="e">
        <f t="array" ref="S197">[2]!LKnum(N197:R197)</f>
        <v>#NAME?</v>
      </c>
    </row>
    <row r="198" spans="8:19">
      <c r="H198" t="s">
        <v>108</v>
      </c>
      <c r="I198">
        <f t="shared" si="12"/>
        <v>4</v>
      </c>
      <c r="N198" t="str">
        <f t="shared" si="13"/>
        <v>{1,116}</v>
      </c>
      <c r="O198" t="str">
        <f t="shared" si="14"/>
        <v>{2,14}</v>
      </c>
      <c r="P198" t="str">
        <f t="shared" si="15"/>
        <v>{3,448}</v>
      </c>
      <c r="Q198" t="s">
        <v>454</v>
      </c>
      <c r="R198" t="s">
        <v>455</v>
      </c>
      <c r="S198" t="e">
        <f t="array" ref="S198">[2]!LKnum(N198:R198)</f>
        <v>#NAME?</v>
      </c>
    </row>
    <row r="199" spans="8:19">
      <c r="H199" t="s">
        <v>112</v>
      </c>
      <c r="I199">
        <f t="shared" si="12"/>
        <v>1</v>
      </c>
      <c r="N199" t="str">
        <f t="shared" si="13"/>
        <v>{1,115}</v>
      </c>
      <c r="O199" t="str">
        <f t="shared" si="14"/>
        <v>{2,15}</v>
      </c>
      <c r="P199" t="str">
        <f t="shared" si="15"/>
        <v>{3,449}</v>
      </c>
      <c r="Q199" t="s">
        <v>454</v>
      </c>
      <c r="R199" t="s">
        <v>455</v>
      </c>
      <c r="S199" t="e">
        <f t="array" ref="S199">[2]!LKnum(N199:R199)</f>
        <v>#NAME?</v>
      </c>
    </row>
    <row r="200" spans="8:19">
      <c r="H200" t="s">
        <v>115</v>
      </c>
      <c r="I200">
        <f t="shared" si="12"/>
        <v>2</v>
      </c>
      <c r="N200" t="str">
        <f t="shared" si="13"/>
        <v>{1,113}</v>
      </c>
      <c r="O200" t="str">
        <f t="shared" si="14"/>
        <v>{2,17}</v>
      </c>
      <c r="P200" t="str">
        <f t="shared" si="15"/>
        <v>{3,451}</v>
      </c>
      <c r="Q200" t="s">
        <v>454</v>
      </c>
      <c r="R200" t="s">
        <v>455</v>
      </c>
      <c r="S200" t="e">
        <f t="array" ref="S200">[2]!LKnum(N200:R200)</f>
        <v>#NAME?</v>
      </c>
    </row>
    <row r="201" spans="8:19">
      <c r="H201" t="s">
        <v>117</v>
      </c>
      <c r="I201">
        <f t="shared" si="12"/>
        <v>2</v>
      </c>
      <c r="N201" t="str">
        <f t="shared" si="13"/>
        <v>{1,113}</v>
      </c>
      <c r="O201" t="str">
        <f t="shared" si="14"/>
        <v>{2,17}</v>
      </c>
      <c r="P201" t="str">
        <f t="shared" si="15"/>
        <v>{3,451}</v>
      </c>
      <c r="Q201" t="s">
        <v>454</v>
      </c>
      <c r="R201" t="s">
        <v>455</v>
      </c>
      <c r="S201" t="e">
        <f t="array" ref="S201">[2]!LKnum(N201:R201)</f>
        <v>#NAME?</v>
      </c>
    </row>
    <row r="202" spans="8:19">
      <c r="H202" t="s">
        <v>120</v>
      </c>
      <c r="I202">
        <f t="shared" si="12"/>
        <v>1</v>
      </c>
      <c r="N202" t="str">
        <f t="shared" si="13"/>
        <v>{1,115}</v>
      </c>
      <c r="O202" t="str">
        <f t="shared" si="14"/>
        <v>{2,15}</v>
      </c>
      <c r="P202" t="str">
        <f t="shared" si="15"/>
        <v>{3,449}</v>
      </c>
      <c r="Q202" t="s">
        <v>454</v>
      </c>
      <c r="R202" t="s">
        <v>455</v>
      </c>
      <c r="S202" t="e">
        <f t="array" ref="S202">[2]!LKnum(N202:R202)</f>
        <v>#NAME?</v>
      </c>
    </row>
    <row r="203" spans="8:19">
      <c r="H203" t="s">
        <v>122</v>
      </c>
      <c r="I203">
        <f t="shared" si="12"/>
        <v>1</v>
      </c>
      <c r="N203" t="str">
        <f t="shared" si="13"/>
        <v>{1,115}</v>
      </c>
      <c r="O203" t="str">
        <f t="shared" si="14"/>
        <v>{2,15}</v>
      </c>
      <c r="P203" t="str">
        <f t="shared" si="15"/>
        <v>{3,449}</v>
      </c>
      <c r="Q203" t="s">
        <v>454</v>
      </c>
      <c r="R203" t="s">
        <v>455</v>
      </c>
      <c r="S203" t="e">
        <f t="array" ref="S203">[2]!LKnum(N203:R203)</f>
        <v>#NAME?</v>
      </c>
    </row>
    <row r="204" spans="8:19">
      <c r="H204" t="s">
        <v>125</v>
      </c>
      <c r="I204">
        <f t="shared" si="12"/>
        <v>3</v>
      </c>
      <c r="N204" t="str">
        <f t="shared" si="13"/>
        <v>{1,114}</v>
      </c>
      <c r="O204" t="str">
        <f t="shared" si="14"/>
        <v>{2,16}</v>
      </c>
      <c r="P204" t="str">
        <f t="shared" si="15"/>
        <v>{3,450}</v>
      </c>
      <c r="Q204" t="s">
        <v>454</v>
      </c>
      <c r="R204" t="s">
        <v>455</v>
      </c>
      <c r="S204" t="e">
        <f t="array" ref="S204">[2]!LKnum(N204:R204)</f>
        <v>#NAME?</v>
      </c>
    </row>
    <row r="205" spans="8:19">
      <c r="H205" t="s">
        <v>128</v>
      </c>
      <c r="I205">
        <f t="shared" si="12"/>
        <v>2</v>
      </c>
      <c r="N205" t="str">
        <f t="shared" si="13"/>
        <v>{1,113}</v>
      </c>
      <c r="O205" t="str">
        <f t="shared" si="14"/>
        <v>{2,17}</v>
      </c>
      <c r="P205" t="str">
        <f t="shared" si="15"/>
        <v>{3,451}</v>
      </c>
      <c r="Q205" t="s">
        <v>454</v>
      </c>
      <c r="R205" t="s">
        <v>455</v>
      </c>
      <c r="S205" t="e">
        <f t="array" ref="S205">[2]!LKnum(N205:R205)</f>
        <v>#NAME?</v>
      </c>
    </row>
    <row r="206" spans="8:19">
      <c r="H206" t="s">
        <v>131</v>
      </c>
      <c r="I206">
        <f t="shared" si="12"/>
        <v>1</v>
      </c>
      <c r="N206" t="str">
        <f t="shared" si="13"/>
        <v>{1,115}</v>
      </c>
      <c r="O206" t="str">
        <f t="shared" si="14"/>
        <v>{2,15}</v>
      </c>
      <c r="P206" t="str">
        <f t="shared" si="15"/>
        <v>{3,449}</v>
      </c>
      <c r="Q206" t="s">
        <v>454</v>
      </c>
      <c r="R206" t="s">
        <v>455</v>
      </c>
      <c r="S206" t="e">
        <f t="array" ref="S206">[2]!LKnum(N206:R206)</f>
        <v>#NAME?</v>
      </c>
    </row>
    <row r="207" spans="8:19">
      <c r="H207" t="s">
        <v>134</v>
      </c>
      <c r="I207">
        <f t="shared" si="12"/>
        <v>1</v>
      </c>
      <c r="N207" t="str">
        <f t="shared" si="13"/>
        <v>{1,115}</v>
      </c>
      <c r="O207" t="str">
        <f t="shared" si="14"/>
        <v>{2,15}</v>
      </c>
      <c r="P207" t="str">
        <f t="shared" si="15"/>
        <v>{3,449}</v>
      </c>
      <c r="Q207" t="s">
        <v>454</v>
      </c>
      <c r="R207" t="s">
        <v>455</v>
      </c>
      <c r="S207" t="e">
        <f t="array" ref="S207">[2]!LKnum(N207:R207)</f>
        <v>#NAME?</v>
      </c>
    </row>
    <row r="208" spans="8:19">
      <c r="H208" t="s">
        <v>137</v>
      </c>
      <c r="I208">
        <f t="shared" si="12"/>
        <v>4</v>
      </c>
      <c r="N208" t="str">
        <f t="shared" si="13"/>
        <v>{1,116}</v>
      </c>
      <c r="O208" t="str">
        <f t="shared" si="14"/>
        <v>{2,14}</v>
      </c>
      <c r="P208" t="str">
        <f t="shared" si="15"/>
        <v>{3,448}</v>
      </c>
      <c r="Q208" t="s">
        <v>454</v>
      </c>
      <c r="R208" t="s">
        <v>455</v>
      </c>
      <c r="S208" t="e">
        <f t="array" ref="S208">[2]!LKnum(N208:R208)</f>
        <v>#NAME?</v>
      </c>
    </row>
    <row r="209" spans="8:19">
      <c r="H209" t="s">
        <v>140</v>
      </c>
      <c r="I209">
        <f t="shared" si="12"/>
        <v>1</v>
      </c>
      <c r="N209" t="str">
        <f t="shared" si="13"/>
        <v>{1,115}</v>
      </c>
      <c r="O209" t="str">
        <f t="shared" si="14"/>
        <v>{2,15}</v>
      </c>
      <c r="P209" t="str">
        <f t="shared" si="15"/>
        <v>{3,449}</v>
      </c>
      <c r="Q209" t="s">
        <v>454</v>
      </c>
      <c r="R209" t="s">
        <v>455</v>
      </c>
      <c r="S209" t="e">
        <f t="array" ref="S209">[2]!LKnum(N209:R209)</f>
        <v>#NAME?</v>
      </c>
    </row>
    <row r="210" spans="8:19">
      <c r="H210" t="s">
        <v>142</v>
      </c>
      <c r="I210">
        <f t="shared" si="12"/>
        <v>2</v>
      </c>
      <c r="N210" t="str">
        <f t="shared" si="13"/>
        <v>{1,113}</v>
      </c>
      <c r="O210" t="str">
        <f t="shared" si="14"/>
        <v>{2,17}</v>
      </c>
      <c r="P210" t="str">
        <f t="shared" si="15"/>
        <v>{3,451}</v>
      </c>
      <c r="Q210" t="s">
        <v>454</v>
      </c>
      <c r="R210" t="s">
        <v>455</v>
      </c>
      <c r="S210" t="e">
        <f t="array" ref="S210">[2]!LKnum(N210:R210)</f>
        <v>#NAME?</v>
      </c>
    </row>
    <row r="211" spans="8:19">
      <c r="H211" t="s">
        <v>145</v>
      </c>
      <c r="I211">
        <f t="shared" si="12"/>
        <v>4</v>
      </c>
      <c r="N211" t="str">
        <f t="shared" si="13"/>
        <v>{1,116}</v>
      </c>
      <c r="O211" t="str">
        <f t="shared" si="14"/>
        <v>{2,14}</v>
      </c>
      <c r="P211" t="str">
        <f t="shared" si="15"/>
        <v>{3,448}</v>
      </c>
      <c r="Q211" t="s">
        <v>454</v>
      </c>
      <c r="R211" t="s">
        <v>455</v>
      </c>
      <c r="S211" t="e">
        <f t="array" ref="S211">[2]!LKnum(N211:R211)</f>
        <v>#NAME?</v>
      </c>
    </row>
    <row r="212" spans="8:19">
      <c r="H212" t="s">
        <v>147</v>
      </c>
      <c r="I212">
        <f t="shared" si="12"/>
        <v>4</v>
      </c>
      <c r="N212" t="str">
        <f t="shared" si="13"/>
        <v>{1,116}</v>
      </c>
      <c r="O212" t="str">
        <f t="shared" si="14"/>
        <v>{2,14}</v>
      </c>
      <c r="P212" t="str">
        <f t="shared" si="15"/>
        <v>{3,448}</v>
      </c>
      <c r="Q212" t="s">
        <v>454</v>
      </c>
      <c r="R212" t="s">
        <v>455</v>
      </c>
      <c r="S212" t="e">
        <f t="array" ref="S212">[2]!LKnum(N212:R212)</f>
        <v>#NAME?</v>
      </c>
    </row>
    <row r="213" spans="8:19">
      <c r="H213" t="s">
        <v>150</v>
      </c>
      <c r="I213">
        <f t="shared" si="12"/>
        <v>1</v>
      </c>
      <c r="N213" t="str">
        <f t="shared" si="13"/>
        <v>{1,115}</v>
      </c>
      <c r="O213" t="str">
        <f t="shared" si="14"/>
        <v>{2,15}</v>
      </c>
      <c r="P213" t="str">
        <f t="shared" si="15"/>
        <v>{3,449}</v>
      </c>
      <c r="Q213" t="s">
        <v>454</v>
      </c>
      <c r="R213" t="s">
        <v>455</v>
      </c>
      <c r="S213" t="e">
        <f t="array" ref="S213">[2]!LKnum(N213:R213)</f>
        <v>#NAME?</v>
      </c>
    </row>
    <row r="214" spans="8:19">
      <c r="H214" t="s">
        <v>154</v>
      </c>
      <c r="I214">
        <f t="shared" si="12"/>
        <v>2</v>
      </c>
      <c r="N214" t="str">
        <f t="shared" si="13"/>
        <v>{1,113}</v>
      </c>
      <c r="O214" t="str">
        <f t="shared" si="14"/>
        <v>{2,17}</v>
      </c>
      <c r="P214" t="str">
        <f t="shared" si="15"/>
        <v>{3,451}</v>
      </c>
      <c r="Q214" t="s">
        <v>454</v>
      </c>
      <c r="R214" t="s">
        <v>455</v>
      </c>
      <c r="S214" t="e">
        <f t="array" ref="S214">[2]!LKnum(N214:R214)</f>
        <v>#NAME?</v>
      </c>
    </row>
    <row r="215" spans="8:19">
      <c r="H215" t="s">
        <v>157</v>
      </c>
      <c r="I215">
        <f t="shared" si="12"/>
        <v>1</v>
      </c>
      <c r="N215" t="str">
        <f t="shared" si="13"/>
        <v>{1,115}</v>
      </c>
      <c r="O215" t="str">
        <f t="shared" si="14"/>
        <v>{2,15}</v>
      </c>
      <c r="P215" t="str">
        <f t="shared" si="15"/>
        <v>{3,449}</v>
      </c>
      <c r="Q215" t="s">
        <v>454</v>
      </c>
      <c r="R215" t="s">
        <v>455</v>
      </c>
      <c r="S215" t="e">
        <f t="array" ref="S215">[2]!LKnum(N215:R215)</f>
        <v>#NAME?</v>
      </c>
    </row>
    <row r="216" spans="8:19">
      <c r="H216" t="s">
        <v>159</v>
      </c>
      <c r="I216">
        <f t="shared" si="12"/>
        <v>2</v>
      </c>
      <c r="N216" t="str">
        <f t="shared" si="13"/>
        <v>{1,113}</v>
      </c>
      <c r="O216" t="str">
        <f t="shared" si="14"/>
        <v>{2,17}</v>
      </c>
      <c r="P216" t="str">
        <f t="shared" si="15"/>
        <v>{3,451}</v>
      </c>
      <c r="Q216" t="s">
        <v>454</v>
      </c>
      <c r="R216" t="s">
        <v>455</v>
      </c>
      <c r="S216" t="e">
        <f t="array" ref="S216">[2]!LKnum(N216:R216)</f>
        <v>#NAME?</v>
      </c>
    </row>
    <row r="217" spans="8:19">
      <c r="H217" t="s">
        <v>161</v>
      </c>
      <c r="I217">
        <f t="shared" si="12"/>
        <v>4</v>
      </c>
      <c r="N217" t="str">
        <f t="shared" si="13"/>
        <v>{1,116}</v>
      </c>
      <c r="O217" t="str">
        <f t="shared" si="14"/>
        <v>{2,14}</v>
      </c>
      <c r="P217" t="str">
        <f t="shared" si="15"/>
        <v>{3,448}</v>
      </c>
      <c r="Q217" t="s">
        <v>454</v>
      </c>
      <c r="R217" t="s">
        <v>455</v>
      </c>
      <c r="S217" t="e">
        <f t="array" ref="S217">[2]!LKnum(N217:R217)</f>
        <v>#NAME?</v>
      </c>
    </row>
    <row r="218" spans="8:19">
      <c r="H218" t="s">
        <v>163</v>
      </c>
      <c r="I218">
        <f t="shared" si="12"/>
        <v>4</v>
      </c>
      <c r="N218" t="str">
        <f t="shared" si="13"/>
        <v>{1,116}</v>
      </c>
      <c r="O218" t="str">
        <f t="shared" si="14"/>
        <v>{2,14}</v>
      </c>
      <c r="P218" t="str">
        <f t="shared" si="15"/>
        <v>{3,448}</v>
      </c>
      <c r="Q218" t="s">
        <v>454</v>
      </c>
      <c r="R218" t="s">
        <v>455</v>
      </c>
      <c r="S218" t="e">
        <f t="array" ref="S218">[2]!LKnum(N218:R218)</f>
        <v>#NAME?</v>
      </c>
    </row>
    <row r="219" spans="8:19">
      <c r="H219" t="s">
        <v>166</v>
      </c>
      <c r="I219">
        <f t="shared" si="12"/>
        <v>4</v>
      </c>
      <c r="N219" t="str">
        <f t="shared" si="13"/>
        <v>{1,116}</v>
      </c>
      <c r="O219" t="str">
        <f t="shared" si="14"/>
        <v>{2,14}</v>
      </c>
      <c r="P219" t="str">
        <f t="shared" si="15"/>
        <v>{3,448}</v>
      </c>
      <c r="Q219" t="s">
        <v>454</v>
      </c>
      <c r="R219" t="s">
        <v>455</v>
      </c>
      <c r="S219" t="e">
        <f t="array" ref="S219">[2]!LKnum(N219:R219)</f>
        <v>#NAME?</v>
      </c>
    </row>
    <row r="220" spans="8:19">
      <c r="H220" t="s">
        <v>169</v>
      </c>
      <c r="I220">
        <f t="shared" si="12"/>
        <v>2</v>
      </c>
      <c r="N220" t="str">
        <f t="shared" si="13"/>
        <v>{1,113}</v>
      </c>
      <c r="O220" t="str">
        <f t="shared" si="14"/>
        <v>{2,17}</v>
      </c>
      <c r="P220" t="str">
        <f t="shared" si="15"/>
        <v>{3,451}</v>
      </c>
      <c r="Q220" t="s">
        <v>454</v>
      </c>
      <c r="R220" t="s">
        <v>455</v>
      </c>
      <c r="S220" t="e">
        <f t="array" ref="S220">[2]!LKnum(N220:R220)</f>
        <v>#NAME?</v>
      </c>
    </row>
    <row r="221" spans="8:19">
      <c r="H221" t="s">
        <v>311</v>
      </c>
      <c r="I221">
        <f t="shared" si="12"/>
        <v>2</v>
      </c>
      <c r="N221" t="str">
        <f t="shared" si="13"/>
        <v>{1,113}</v>
      </c>
      <c r="O221" t="str">
        <f t="shared" si="14"/>
        <v>{2,17}</v>
      </c>
      <c r="P221" t="str">
        <f t="shared" si="15"/>
        <v>{3,451}</v>
      </c>
      <c r="Q221" t="s">
        <v>454</v>
      </c>
      <c r="R221" t="s">
        <v>455</v>
      </c>
      <c r="S221" t="e">
        <f t="array" ref="S221">[2]!LKnum(N221:R221)</f>
        <v>#NAME?</v>
      </c>
    </row>
    <row r="222" spans="8:19">
      <c r="H222" t="s">
        <v>171</v>
      </c>
      <c r="I222">
        <f t="shared" si="12"/>
        <v>4</v>
      </c>
      <c r="N222" t="str">
        <f t="shared" si="13"/>
        <v>{1,116}</v>
      </c>
      <c r="O222" t="str">
        <f t="shared" si="14"/>
        <v>{2,14}</v>
      </c>
      <c r="P222" t="str">
        <f t="shared" si="15"/>
        <v>{3,448}</v>
      </c>
      <c r="Q222" t="s">
        <v>454</v>
      </c>
      <c r="R222" t="s">
        <v>455</v>
      </c>
      <c r="S222" t="e">
        <f t="array" ref="S222">[2]!LKnum(N222:R222)</f>
        <v>#NAME?</v>
      </c>
    </row>
    <row r="223" spans="8:19">
      <c r="H223" t="s">
        <v>173</v>
      </c>
      <c r="I223">
        <f t="shared" si="12"/>
        <v>1</v>
      </c>
      <c r="N223" t="str">
        <f t="shared" si="13"/>
        <v>{1,115}</v>
      </c>
      <c r="O223" t="str">
        <f t="shared" si="14"/>
        <v>{2,15}</v>
      </c>
      <c r="P223" t="str">
        <f t="shared" si="15"/>
        <v>{3,449}</v>
      </c>
      <c r="Q223" t="s">
        <v>454</v>
      </c>
      <c r="R223" t="s">
        <v>455</v>
      </c>
      <c r="S223" t="e">
        <f t="array" ref="S223">[2]!LKnum(N223:R223)</f>
        <v>#NAME?</v>
      </c>
    </row>
    <row r="224" spans="8:19">
      <c r="H224" t="s">
        <v>176</v>
      </c>
      <c r="I224">
        <f t="shared" si="12"/>
        <v>1</v>
      </c>
      <c r="N224" t="str">
        <f t="shared" si="13"/>
        <v>{1,115}</v>
      </c>
      <c r="O224" t="str">
        <f t="shared" si="14"/>
        <v>{2,15}</v>
      </c>
      <c r="P224" t="str">
        <f t="shared" si="15"/>
        <v>{3,449}</v>
      </c>
      <c r="Q224" t="s">
        <v>454</v>
      </c>
      <c r="R224" t="s">
        <v>455</v>
      </c>
      <c r="S224" t="e">
        <f t="array" ref="S224">[2]!LKnum(N224:R224)</f>
        <v>#NAME?</v>
      </c>
    </row>
    <row r="225" spans="8:19">
      <c r="H225" t="s">
        <v>179</v>
      </c>
      <c r="I225">
        <f t="shared" si="12"/>
        <v>2</v>
      </c>
      <c r="N225" t="str">
        <f t="shared" si="13"/>
        <v>{1,113}</v>
      </c>
      <c r="O225" t="str">
        <f t="shared" si="14"/>
        <v>{2,17}</v>
      </c>
      <c r="P225" t="str">
        <f t="shared" si="15"/>
        <v>{3,451}</v>
      </c>
      <c r="Q225" t="s">
        <v>454</v>
      </c>
      <c r="R225" t="s">
        <v>455</v>
      </c>
      <c r="S225" t="e">
        <f t="array" ref="S225">[2]!LKnum(N225:R225)</f>
        <v>#NAME?</v>
      </c>
    </row>
    <row r="226" spans="8:19">
      <c r="H226" t="s">
        <v>181</v>
      </c>
      <c r="I226">
        <f t="shared" si="12"/>
        <v>2</v>
      </c>
      <c r="N226" t="str">
        <f t="shared" si="13"/>
        <v>{1,113}</v>
      </c>
      <c r="O226" t="str">
        <f t="shared" si="14"/>
        <v>{2,17}</v>
      </c>
      <c r="P226" t="str">
        <f t="shared" si="15"/>
        <v>{3,451}</v>
      </c>
      <c r="Q226" t="s">
        <v>454</v>
      </c>
      <c r="R226" t="s">
        <v>455</v>
      </c>
      <c r="S226" t="e">
        <f t="array" ref="S226">[2]!LKnum(N226:R226)</f>
        <v>#NAME?</v>
      </c>
    </row>
    <row r="227" spans="8:19">
      <c r="H227" t="s">
        <v>183</v>
      </c>
      <c r="I227">
        <f t="shared" si="12"/>
        <v>4</v>
      </c>
      <c r="N227" t="str">
        <f t="shared" si="13"/>
        <v>{1,116}</v>
      </c>
      <c r="O227" t="str">
        <f t="shared" si="14"/>
        <v>{2,14}</v>
      </c>
      <c r="P227" t="str">
        <f t="shared" si="15"/>
        <v>{3,448}</v>
      </c>
      <c r="Q227" t="s">
        <v>454</v>
      </c>
      <c r="R227" t="s">
        <v>455</v>
      </c>
      <c r="S227" t="e">
        <f t="array" ref="S227">[2]!LKnum(N227:R227)</f>
        <v>#NAME?</v>
      </c>
    </row>
    <row r="228" spans="8:19">
      <c r="H228" t="s">
        <v>186</v>
      </c>
      <c r="I228">
        <f t="shared" si="12"/>
        <v>4</v>
      </c>
      <c r="N228" t="str">
        <f t="shared" si="13"/>
        <v>{1,116}</v>
      </c>
      <c r="O228" t="str">
        <f t="shared" si="14"/>
        <v>{2,14}</v>
      </c>
      <c r="P228" t="str">
        <f t="shared" si="15"/>
        <v>{3,448}</v>
      </c>
      <c r="Q228" t="s">
        <v>454</v>
      </c>
      <c r="R228" t="s">
        <v>455</v>
      </c>
      <c r="S228" t="e">
        <f t="array" ref="S228">[2]!LKnum(N228:R228)</f>
        <v>#NAME?</v>
      </c>
    </row>
    <row r="229" spans="8:19">
      <c r="H229" t="s">
        <v>189</v>
      </c>
      <c r="I229">
        <f t="shared" si="12"/>
        <v>2</v>
      </c>
      <c r="N229" t="str">
        <f t="shared" si="13"/>
        <v>{1,113}</v>
      </c>
      <c r="O229" t="str">
        <f t="shared" si="14"/>
        <v>{2,17}</v>
      </c>
      <c r="P229" t="str">
        <f t="shared" si="15"/>
        <v>{3,451}</v>
      </c>
      <c r="Q229" t="s">
        <v>454</v>
      </c>
      <c r="R229" t="s">
        <v>455</v>
      </c>
      <c r="S229" t="e">
        <f t="array" ref="S229">[2]!LKnum(N229:R229)</f>
        <v>#NAME?</v>
      </c>
    </row>
    <row r="230" spans="8:19">
      <c r="H230" t="s">
        <v>191</v>
      </c>
      <c r="I230">
        <f t="shared" si="12"/>
        <v>4</v>
      </c>
      <c r="N230" t="str">
        <f t="shared" si="13"/>
        <v>{1,116}</v>
      </c>
      <c r="O230" t="str">
        <f t="shared" si="14"/>
        <v>{2,14}</v>
      </c>
      <c r="P230" t="str">
        <f t="shared" si="15"/>
        <v>{3,448}</v>
      </c>
      <c r="Q230" t="s">
        <v>454</v>
      </c>
      <c r="R230" t="s">
        <v>455</v>
      </c>
      <c r="S230" t="e">
        <f t="array" ref="S230">[2]!LKnum(N230:R230)</f>
        <v>#NAME?</v>
      </c>
    </row>
    <row r="231" spans="8:19">
      <c r="H231" t="s">
        <v>194</v>
      </c>
      <c r="I231">
        <f t="shared" si="12"/>
        <v>1</v>
      </c>
      <c r="N231" t="str">
        <f t="shared" si="13"/>
        <v>{1,115}</v>
      </c>
      <c r="O231" t="str">
        <f t="shared" si="14"/>
        <v>{2,15}</v>
      </c>
      <c r="P231" t="str">
        <f t="shared" si="15"/>
        <v>{3,449}</v>
      </c>
      <c r="Q231" t="s">
        <v>454</v>
      </c>
      <c r="R231" t="s">
        <v>455</v>
      </c>
      <c r="S231" t="e">
        <f t="array" ref="S231">[2]!LKnum(N231:R231)</f>
        <v>#NAME?</v>
      </c>
    </row>
    <row r="232" spans="8:19">
      <c r="H232" t="s">
        <v>196</v>
      </c>
      <c r="I232">
        <f t="shared" si="12"/>
        <v>1</v>
      </c>
      <c r="N232" t="str">
        <f t="shared" si="13"/>
        <v>{1,115}</v>
      </c>
      <c r="O232" t="str">
        <f t="shared" si="14"/>
        <v>{2,15}</v>
      </c>
      <c r="P232" t="str">
        <f t="shared" si="15"/>
        <v>{3,449}</v>
      </c>
      <c r="Q232" t="s">
        <v>454</v>
      </c>
      <c r="R232" t="s">
        <v>455</v>
      </c>
      <c r="S232" t="e">
        <f t="array" ref="S232">[2]!LKnum(N232:R232)</f>
        <v>#NAME?</v>
      </c>
    </row>
    <row r="233" spans="8:19">
      <c r="H233" t="s">
        <v>198</v>
      </c>
      <c r="I233">
        <f t="shared" si="12"/>
        <v>4</v>
      </c>
      <c r="N233" t="str">
        <f t="shared" si="13"/>
        <v>{1,116}</v>
      </c>
      <c r="O233" t="str">
        <f t="shared" si="14"/>
        <v>{2,14}</v>
      </c>
      <c r="P233" t="str">
        <f t="shared" si="15"/>
        <v>{3,448}</v>
      </c>
      <c r="Q233" t="s">
        <v>454</v>
      </c>
      <c r="R233" t="s">
        <v>455</v>
      </c>
      <c r="S233" t="e">
        <f t="array" ref="S233">[2]!LKnum(N233:R233)</f>
        <v>#NAME?</v>
      </c>
    </row>
    <row r="234" spans="8:19">
      <c r="H234" t="s">
        <v>200</v>
      </c>
      <c r="I234">
        <f t="shared" si="12"/>
        <v>1</v>
      </c>
      <c r="N234" t="str">
        <f t="shared" si="13"/>
        <v>{1,115}</v>
      </c>
      <c r="O234" t="str">
        <f t="shared" si="14"/>
        <v>{2,15}</v>
      </c>
      <c r="P234" t="str">
        <f t="shared" si="15"/>
        <v>{3,449}</v>
      </c>
      <c r="Q234" t="s">
        <v>454</v>
      </c>
      <c r="R234" t="s">
        <v>455</v>
      </c>
      <c r="S234" t="e">
        <f t="array" ref="S234">[2]!LKnum(N234:R234)</f>
        <v>#NAME?</v>
      </c>
    </row>
    <row r="235" spans="8:19">
      <c r="H235" t="s">
        <v>202</v>
      </c>
      <c r="I235">
        <f t="shared" si="12"/>
        <v>4</v>
      </c>
      <c r="N235" t="str">
        <f t="shared" si="13"/>
        <v>{1,116}</v>
      </c>
      <c r="O235" t="str">
        <f t="shared" si="14"/>
        <v>{2,14}</v>
      </c>
      <c r="P235" t="str">
        <f t="shared" si="15"/>
        <v>{3,448}</v>
      </c>
      <c r="Q235" t="s">
        <v>454</v>
      </c>
      <c r="R235" t="s">
        <v>455</v>
      </c>
      <c r="S235" t="e">
        <f t="array" ref="S235">[2]!LKnum(N235:R235)</f>
        <v>#NAME?</v>
      </c>
    </row>
    <row r="236" spans="8:19">
      <c r="H236" t="s">
        <v>204</v>
      </c>
      <c r="I236">
        <f t="shared" si="12"/>
        <v>1</v>
      </c>
      <c r="N236" t="str">
        <f t="shared" si="13"/>
        <v>{1,115}</v>
      </c>
      <c r="O236" t="str">
        <f t="shared" si="14"/>
        <v>{2,15}</v>
      </c>
      <c r="P236" t="str">
        <f t="shared" si="15"/>
        <v>{3,449}</v>
      </c>
      <c r="Q236" t="s">
        <v>454</v>
      </c>
      <c r="R236" t="s">
        <v>455</v>
      </c>
      <c r="S236" t="e">
        <f t="array" ref="S236">[2]!LKnum(N236:R236)</f>
        <v>#NAME?</v>
      </c>
    </row>
    <row r="237" spans="8:19">
      <c r="H237" t="s">
        <v>207</v>
      </c>
      <c r="I237">
        <f t="shared" si="12"/>
        <v>1</v>
      </c>
      <c r="N237" t="str">
        <f t="shared" si="13"/>
        <v>{1,115}</v>
      </c>
      <c r="O237" t="str">
        <f t="shared" si="14"/>
        <v>{2,15}</v>
      </c>
      <c r="P237" t="str">
        <f t="shared" si="15"/>
        <v>{3,449}</v>
      </c>
      <c r="Q237" t="s">
        <v>454</v>
      </c>
      <c r="R237" t="s">
        <v>455</v>
      </c>
      <c r="S237" t="e">
        <f t="array" ref="S237">[2]!LKnum(N237:R237)</f>
        <v>#NAME?</v>
      </c>
    </row>
    <row r="238" spans="8:19">
      <c r="H238" t="s">
        <v>210</v>
      </c>
      <c r="I238">
        <f t="shared" si="12"/>
        <v>4</v>
      </c>
      <c r="N238" t="str">
        <f t="shared" si="13"/>
        <v>{1,116}</v>
      </c>
      <c r="O238" t="str">
        <f t="shared" si="14"/>
        <v>{2,14}</v>
      </c>
      <c r="P238" t="str">
        <f t="shared" si="15"/>
        <v>{3,448}</v>
      </c>
      <c r="Q238" t="s">
        <v>454</v>
      </c>
      <c r="R238" t="s">
        <v>455</v>
      </c>
      <c r="S238" t="e">
        <f t="array" ref="S238">[2]!LKnum(N238:R238)</f>
        <v>#NAME?</v>
      </c>
    </row>
    <row r="239" spans="8:19">
      <c r="H239" t="s">
        <v>213</v>
      </c>
      <c r="I239">
        <f t="shared" si="12"/>
        <v>2</v>
      </c>
      <c r="N239" t="str">
        <f t="shared" si="13"/>
        <v>{1,113}</v>
      </c>
      <c r="O239" t="str">
        <f t="shared" si="14"/>
        <v>{2,17}</v>
      </c>
      <c r="P239" t="str">
        <f t="shared" si="15"/>
        <v>{3,451}</v>
      </c>
      <c r="Q239" t="s">
        <v>454</v>
      </c>
      <c r="R239" t="s">
        <v>455</v>
      </c>
      <c r="S239" t="e">
        <f t="array" ref="S239">[2]!LKnum(N239:R239)</f>
        <v>#NAME?</v>
      </c>
    </row>
    <row r="240" spans="8:19">
      <c r="H240" t="s">
        <v>215</v>
      </c>
      <c r="I240">
        <f t="shared" si="12"/>
        <v>4</v>
      </c>
      <c r="N240" t="str">
        <f t="shared" si="13"/>
        <v>{1,116}</v>
      </c>
      <c r="O240" t="str">
        <f t="shared" si="14"/>
        <v>{2,14}</v>
      </c>
      <c r="P240" t="str">
        <f t="shared" si="15"/>
        <v>{3,448}</v>
      </c>
      <c r="Q240" t="s">
        <v>454</v>
      </c>
      <c r="R240" t="s">
        <v>455</v>
      </c>
      <c r="S240" t="e">
        <f t="array" ref="S240">[2]!LKnum(N240:R240)</f>
        <v>#NAME?</v>
      </c>
    </row>
    <row r="241" spans="8:19">
      <c r="H241" t="s">
        <v>219</v>
      </c>
      <c r="I241">
        <f t="shared" si="12"/>
        <v>1</v>
      </c>
      <c r="N241" t="str">
        <f t="shared" si="13"/>
        <v>{1,115}</v>
      </c>
      <c r="O241" t="str">
        <f t="shared" si="14"/>
        <v>{2,15}</v>
      </c>
      <c r="P241" t="str">
        <f t="shared" si="15"/>
        <v>{3,449}</v>
      </c>
      <c r="Q241" t="s">
        <v>454</v>
      </c>
      <c r="R241" t="s">
        <v>455</v>
      </c>
      <c r="S241" t="e">
        <f t="array" ref="S241">[2]!LKnum(N241:R241)</f>
        <v>#NAME?</v>
      </c>
    </row>
    <row r="242" spans="8:19">
      <c r="H242" t="s">
        <v>222</v>
      </c>
      <c r="I242">
        <f t="shared" si="12"/>
        <v>1</v>
      </c>
      <c r="N242" t="str">
        <f t="shared" si="13"/>
        <v>{1,115}</v>
      </c>
      <c r="O242" t="str">
        <f t="shared" si="14"/>
        <v>{2,15}</v>
      </c>
      <c r="P242" t="str">
        <f t="shared" si="15"/>
        <v>{3,449}</v>
      </c>
      <c r="Q242" t="s">
        <v>454</v>
      </c>
      <c r="R242" t="s">
        <v>455</v>
      </c>
      <c r="S242" t="e">
        <f t="array" ref="S242">[2]!LKnum(N242:R242)</f>
        <v>#NAME?</v>
      </c>
    </row>
    <row r="243" spans="8:19">
      <c r="H243" t="s">
        <v>226</v>
      </c>
      <c r="I243">
        <f t="shared" si="12"/>
        <v>1</v>
      </c>
      <c r="N243" t="str">
        <f t="shared" si="13"/>
        <v>{1,115}</v>
      </c>
      <c r="O243" t="str">
        <f t="shared" si="14"/>
        <v>{2,15}</v>
      </c>
      <c r="P243" t="str">
        <f t="shared" si="15"/>
        <v>{3,449}</v>
      </c>
      <c r="Q243" t="s">
        <v>454</v>
      </c>
      <c r="R243" t="s">
        <v>455</v>
      </c>
      <c r="S243" t="e">
        <f t="array" ref="S243">[2]!LKnum(N243:R243)</f>
        <v>#NAME?</v>
      </c>
    </row>
    <row r="244" spans="8:19">
      <c r="H244" t="s">
        <v>319</v>
      </c>
      <c r="I244">
        <f t="shared" si="12"/>
        <v>2</v>
      </c>
      <c r="N244" t="str">
        <f t="shared" si="13"/>
        <v>{1,113}</v>
      </c>
      <c r="O244" t="str">
        <f t="shared" si="14"/>
        <v>{2,17}</v>
      </c>
      <c r="P244" t="str">
        <f t="shared" si="15"/>
        <v>{3,451}</v>
      </c>
      <c r="Q244" t="s">
        <v>454</v>
      </c>
      <c r="R244" t="s">
        <v>455</v>
      </c>
      <c r="S244" t="e">
        <f t="array" ref="S244">[2]!LKnum(N244:R244)</f>
        <v>#NAME?</v>
      </c>
    </row>
    <row r="245" spans="8:19">
      <c r="H245" t="s">
        <v>231</v>
      </c>
      <c r="I245">
        <f t="shared" si="12"/>
        <v>2</v>
      </c>
      <c r="N245" t="str">
        <f t="shared" si="13"/>
        <v>{1,113}</v>
      </c>
      <c r="O245" t="str">
        <f t="shared" si="14"/>
        <v>{2,17}</v>
      </c>
      <c r="P245" t="str">
        <f t="shared" si="15"/>
        <v>{3,451}</v>
      </c>
      <c r="Q245" t="s">
        <v>454</v>
      </c>
      <c r="R245" t="s">
        <v>455</v>
      </c>
      <c r="S245" t="e">
        <f t="array" ref="S245">[2]!LKnum(N245:R245)</f>
        <v>#NAME?</v>
      </c>
    </row>
    <row r="246" spans="8:19">
      <c r="H246" t="s">
        <v>234</v>
      </c>
      <c r="I246">
        <f t="shared" si="12"/>
        <v>4</v>
      </c>
      <c r="N246" t="str">
        <f t="shared" si="13"/>
        <v>{1,116}</v>
      </c>
      <c r="O246" t="str">
        <f t="shared" si="14"/>
        <v>{2,14}</v>
      </c>
      <c r="P246" t="str">
        <f t="shared" si="15"/>
        <v>{3,448}</v>
      </c>
      <c r="Q246" t="s">
        <v>454</v>
      </c>
      <c r="R246" t="s">
        <v>455</v>
      </c>
      <c r="S246" t="e">
        <f t="array" ref="S246">[2]!LKnum(N246:R246)</f>
        <v>#NAME?</v>
      </c>
    </row>
    <row r="247" spans="8:19">
      <c r="H247" t="s">
        <v>236</v>
      </c>
      <c r="I247">
        <f t="shared" si="12"/>
        <v>3</v>
      </c>
      <c r="N247" t="str">
        <f t="shared" si="13"/>
        <v>{1,114}</v>
      </c>
      <c r="O247" t="str">
        <f t="shared" si="14"/>
        <v>{2,16}</v>
      </c>
      <c r="P247" t="str">
        <f t="shared" si="15"/>
        <v>{3,450}</v>
      </c>
      <c r="Q247" t="s">
        <v>454</v>
      </c>
      <c r="R247" t="s">
        <v>455</v>
      </c>
      <c r="S247" t="e">
        <f t="array" ref="S247">[2]!LKnum(N247:R247)</f>
        <v>#NAME?</v>
      </c>
    </row>
    <row r="248" spans="8:19">
      <c r="H248" t="s">
        <v>239</v>
      </c>
      <c r="I248">
        <f t="shared" si="12"/>
        <v>3</v>
      </c>
      <c r="N248" t="str">
        <f t="shared" si="13"/>
        <v>{1,114}</v>
      </c>
      <c r="O248" t="str">
        <f t="shared" si="14"/>
        <v>{2,16}</v>
      </c>
      <c r="P248" t="str">
        <f t="shared" si="15"/>
        <v>{3,450}</v>
      </c>
      <c r="Q248" t="s">
        <v>454</v>
      </c>
      <c r="R248" t="s">
        <v>455</v>
      </c>
      <c r="S248" t="e">
        <f t="array" ref="S248">[2]!LKnum(N248:R248)</f>
        <v>#NAME?</v>
      </c>
    </row>
    <row r="249" spans="8:19">
      <c r="H249" t="s">
        <v>242</v>
      </c>
      <c r="I249">
        <f t="shared" si="12"/>
        <v>4</v>
      </c>
      <c r="N249" t="str">
        <f t="shared" si="13"/>
        <v>{1,116}</v>
      </c>
      <c r="O249" t="str">
        <f t="shared" si="14"/>
        <v>{2,14}</v>
      </c>
      <c r="P249" t="str">
        <f t="shared" si="15"/>
        <v>{3,448}</v>
      </c>
      <c r="Q249" t="s">
        <v>454</v>
      </c>
      <c r="R249" t="s">
        <v>455</v>
      </c>
      <c r="S249" t="e">
        <f t="array" ref="S249">[2]!LKnum(N249:R249)</f>
        <v>#NAME?</v>
      </c>
    </row>
    <row r="250" spans="8:19">
      <c r="H250" t="s">
        <v>244</v>
      </c>
      <c r="I250">
        <f t="shared" si="12"/>
        <v>3</v>
      </c>
      <c r="N250" t="str">
        <f t="shared" si="13"/>
        <v>{1,114}</v>
      </c>
      <c r="O250" t="str">
        <f t="shared" si="14"/>
        <v>{2,16}</v>
      </c>
      <c r="P250" t="str">
        <f t="shared" si="15"/>
        <v>{3,450}</v>
      </c>
      <c r="Q250" t="s">
        <v>454</v>
      </c>
      <c r="R250" t="s">
        <v>455</v>
      </c>
      <c r="S250" t="e">
        <f t="array" ref="S250">[2]!LKnum(N250:R250)</f>
        <v>#NAME?</v>
      </c>
    </row>
    <row r="251" spans="8:19">
      <c r="H251" t="s">
        <v>246</v>
      </c>
      <c r="I251">
        <f t="shared" si="12"/>
        <v>1</v>
      </c>
      <c r="N251" t="str">
        <f t="shared" si="13"/>
        <v>{1,115}</v>
      </c>
      <c r="O251" t="str">
        <f t="shared" si="14"/>
        <v>{2,15}</v>
      </c>
      <c r="P251" t="str">
        <f t="shared" si="15"/>
        <v>{3,449}</v>
      </c>
      <c r="Q251" t="s">
        <v>454</v>
      </c>
      <c r="R251" t="s">
        <v>455</v>
      </c>
      <c r="S251" t="e">
        <f t="array" ref="S251">[2]!LKnum(N251:R251)</f>
        <v>#NAME?</v>
      </c>
    </row>
    <row r="252" spans="8:19">
      <c r="H252" t="s">
        <v>249</v>
      </c>
      <c r="I252">
        <f t="shared" si="12"/>
        <v>2</v>
      </c>
      <c r="N252" t="str">
        <f t="shared" si="13"/>
        <v>{1,113}</v>
      </c>
      <c r="O252" t="str">
        <f t="shared" si="14"/>
        <v>{2,17}</v>
      </c>
      <c r="P252" t="str">
        <f t="shared" si="15"/>
        <v>{3,451}</v>
      </c>
      <c r="Q252" t="s">
        <v>454</v>
      </c>
      <c r="R252" t="s">
        <v>455</v>
      </c>
      <c r="S252" t="e">
        <f t="array" ref="S252">[2]!LKnum(N252:R252)</f>
        <v>#NAME?</v>
      </c>
    </row>
    <row r="253" spans="8:19">
      <c r="H253" t="s">
        <v>251</v>
      </c>
      <c r="I253">
        <f t="shared" si="12"/>
        <v>3</v>
      </c>
      <c r="N253" t="str">
        <f t="shared" si="13"/>
        <v>{1,114}</v>
      </c>
      <c r="O253" t="str">
        <f t="shared" si="14"/>
        <v>{2,16}</v>
      </c>
      <c r="P253" t="str">
        <f t="shared" si="15"/>
        <v>{3,450}</v>
      </c>
      <c r="Q253" t="s">
        <v>454</v>
      </c>
      <c r="R253" t="s">
        <v>455</v>
      </c>
      <c r="S253" t="e">
        <f t="array" ref="S253">[2]!LKnum(N253:R253)</f>
        <v>#NAME?</v>
      </c>
    </row>
    <row r="254" spans="8:19">
      <c r="H254" t="s">
        <v>253</v>
      </c>
      <c r="I254">
        <f t="shared" si="12"/>
        <v>2</v>
      </c>
      <c r="N254" t="str">
        <f t="shared" si="13"/>
        <v>{1,113}</v>
      </c>
      <c r="O254" t="str">
        <f t="shared" si="14"/>
        <v>{2,17}</v>
      </c>
      <c r="P254" t="str">
        <f t="shared" si="15"/>
        <v>{3,451}</v>
      </c>
      <c r="Q254" t="s">
        <v>454</v>
      </c>
      <c r="R254" t="s">
        <v>455</v>
      </c>
      <c r="S254" t="e">
        <f t="array" ref="S254">[2]!LKnum(N254:R254)</f>
        <v>#NAME?</v>
      </c>
    </row>
    <row r="255" spans="8:19">
      <c r="H255" t="s">
        <v>256</v>
      </c>
      <c r="I255">
        <f t="shared" si="12"/>
        <v>3</v>
      </c>
      <c r="N255" t="str">
        <f t="shared" si="13"/>
        <v>{1,114}</v>
      </c>
      <c r="O255" t="str">
        <f t="shared" si="14"/>
        <v>{2,16}</v>
      </c>
      <c r="P255" t="str">
        <f t="shared" si="15"/>
        <v>{3,450}</v>
      </c>
      <c r="Q255" t="s">
        <v>454</v>
      </c>
      <c r="R255" t="s">
        <v>455</v>
      </c>
      <c r="S255" t="e">
        <f t="array" ref="S255">[2]!LKnum(N255:R255)</f>
        <v>#NAME?</v>
      </c>
    </row>
    <row r="256" spans="8:19">
      <c r="H256" t="s">
        <v>257</v>
      </c>
      <c r="I256">
        <f t="shared" si="12"/>
        <v>2</v>
      </c>
      <c r="N256" t="str">
        <f t="shared" si="13"/>
        <v>{1,113}</v>
      </c>
      <c r="O256" t="str">
        <f t="shared" si="14"/>
        <v>{2,17}</v>
      </c>
      <c r="P256" t="str">
        <f t="shared" si="15"/>
        <v>{3,451}</v>
      </c>
      <c r="Q256" t="s">
        <v>454</v>
      </c>
      <c r="R256" t="s">
        <v>455</v>
      </c>
      <c r="S256" t="e">
        <f t="array" ref="S256">[2]!LKnum(N256:R256)</f>
        <v>#NAME?</v>
      </c>
    </row>
    <row r="257" spans="8:21">
      <c r="H257" t="s">
        <v>173</v>
      </c>
      <c r="I257">
        <f t="shared" si="12"/>
        <v>1</v>
      </c>
      <c r="N257" t="str">
        <f t="shared" si="13"/>
        <v>{1,115}</v>
      </c>
      <c r="O257" t="str">
        <f t="shared" si="14"/>
        <v>{2,15}</v>
      </c>
      <c r="P257" t="str">
        <f t="shared" si="15"/>
        <v>{3,449}</v>
      </c>
      <c r="Q257" t="s">
        <v>468</v>
      </c>
      <c r="R257" t="s">
        <v>454</v>
      </c>
      <c r="S257" t="s">
        <v>455</v>
      </c>
      <c r="T257" t="s">
        <v>469</v>
      </c>
      <c r="U257" t="s">
        <v>470</v>
      </c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J5:L260"/>
  <sheetViews>
    <sheetView workbookViewId="0">
      <selection activeCell="L5" sqref="L5:L260"/>
    </sheetView>
  </sheetViews>
  <sheetFormatPr defaultColWidth="9" defaultRowHeight="14.25"/>
  <cols>
    <col min="11" max="11" width="64.375" customWidth="1"/>
  </cols>
  <sheetData>
    <row r="5" spans="10:12">
      <c r="J5" t="s">
        <v>32</v>
      </c>
      <c r="K5" t="s">
        <v>471</v>
      </c>
      <c r="L5" t="str">
        <f>VLOOKUP(J5,$J$5:$K$260,2,0)</f>
        <v>{{1,116}|{2,14}|{3,448}|{8,10000}|{9,10000}}</v>
      </c>
    </row>
    <row r="6" spans="10:12">
      <c r="J6" t="s">
        <v>36</v>
      </c>
      <c r="K6" t="s">
        <v>472</v>
      </c>
      <c r="L6" t="str">
        <f t="shared" ref="L6:L69" si="0">VLOOKUP(J6,$J$5:$K$260,2,0)</f>
        <v>{{1,113}|{2,17}|{3,451}|{8,10000}|{9,10000}}</v>
      </c>
    </row>
    <row r="7" spans="10:12">
      <c r="J7" t="s">
        <v>40</v>
      </c>
      <c r="K7" t="s">
        <v>473</v>
      </c>
      <c r="L7" t="str">
        <f t="shared" si="0"/>
        <v>{{1,115}|{2,15}|{3,449}|{8,10000}|{9,10000}}</v>
      </c>
    </row>
    <row r="8" spans="10:12">
      <c r="J8" t="s">
        <v>43</v>
      </c>
      <c r="K8" t="s">
        <v>473</v>
      </c>
      <c r="L8" t="str">
        <f t="shared" si="0"/>
        <v>{{1,115}|{2,15}|{3,449}|{8,10000}|{9,10000}}</v>
      </c>
    </row>
    <row r="9" spans="10:12">
      <c r="J9" t="s">
        <v>299</v>
      </c>
      <c r="K9" t="s">
        <v>472</v>
      </c>
      <c r="L9" t="str">
        <f t="shared" si="0"/>
        <v>{{1,113}|{2,17}|{3,451}|{8,10000}|{9,10000}}</v>
      </c>
    </row>
    <row r="10" spans="10:12">
      <c r="J10" t="s">
        <v>46</v>
      </c>
      <c r="K10" t="s">
        <v>471</v>
      </c>
      <c r="L10" t="str">
        <f t="shared" si="0"/>
        <v>{{1,116}|{2,14}|{3,448}|{8,10000}|{9,10000}}</v>
      </c>
    </row>
    <row r="11" spans="10:12">
      <c r="J11" t="s">
        <v>50</v>
      </c>
      <c r="K11" t="s">
        <v>474</v>
      </c>
      <c r="L11" t="str">
        <f t="shared" si="0"/>
        <v>{{1,114}|{2,16}|{3,450}|{8,10000}|{9,10000}}</v>
      </c>
    </row>
    <row r="12" spans="10:12">
      <c r="J12" t="s">
        <v>53</v>
      </c>
      <c r="K12" t="s">
        <v>471</v>
      </c>
      <c r="L12" t="str">
        <f t="shared" si="0"/>
        <v>{{1,116}|{2,14}|{3,448}|{8,10000}|{9,10000}}</v>
      </c>
    </row>
    <row r="13" spans="10:12">
      <c r="J13" t="s">
        <v>300</v>
      </c>
      <c r="K13" t="s">
        <v>474</v>
      </c>
      <c r="L13" t="str">
        <f t="shared" si="0"/>
        <v>{{1,114}|{2,16}|{3,450}|{8,10000}|{9,10000}}</v>
      </c>
    </row>
    <row r="14" spans="10:12">
      <c r="J14" t="s">
        <v>301</v>
      </c>
      <c r="K14" t="s">
        <v>471</v>
      </c>
      <c r="L14" t="str">
        <f t="shared" si="0"/>
        <v>{{1,116}|{2,14}|{3,448}|{8,10000}|{9,10000}}</v>
      </c>
    </row>
    <row r="15" spans="10:12">
      <c r="J15" t="s">
        <v>57</v>
      </c>
      <c r="K15" t="s">
        <v>472</v>
      </c>
      <c r="L15" t="str">
        <f t="shared" si="0"/>
        <v>{{1,113}|{2,17}|{3,451}|{8,10000}|{9,10000}}</v>
      </c>
    </row>
    <row r="16" spans="10:12">
      <c r="J16" t="s">
        <v>60</v>
      </c>
      <c r="K16" t="s">
        <v>472</v>
      </c>
      <c r="L16" t="str">
        <f t="shared" si="0"/>
        <v>{{1,113}|{2,17}|{3,451}|{8,10000}|{9,10000}}</v>
      </c>
    </row>
    <row r="17" spans="10:12">
      <c r="J17" t="s">
        <v>64</v>
      </c>
      <c r="K17" t="s">
        <v>473</v>
      </c>
      <c r="L17" t="str">
        <f t="shared" si="0"/>
        <v>{{1,115}|{2,15}|{3,449}|{8,10000}|{9,10000}}</v>
      </c>
    </row>
    <row r="18" spans="10:12">
      <c r="J18" t="s">
        <v>68</v>
      </c>
      <c r="K18" t="s">
        <v>473</v>
      </c>
      <c r="L18" t="str">
        <f t="shared" si="0"/>
        <v>{{1,115}|{2,15}|{3,449}|{8,10000}|{9,10000}}</v>
      </c>
    </row>
    <row r="19" spans="10:12">
      <c r="J19" t="s">
        <v>72</v>
      </c>
      <c r="K19" t="s">
        <v>471</v>
      </c>
      <c r="L19" t="str">
        <f t="shared" si="0"/>
        <v>{{1,116}|{2,14}|{3,448}|{8,10000}|{9,10000}}</v>
      </c>
    </row>
    <row r="20" spans="10:12">
      <c r="J20" t="s">
        <v>75</v>
      </c>
      <c r="K20" t="s">
        <v>471</v>
      </c>
      <c r="L20" t="str">
        <f t="shared" si="0"/>
        <v>{{1,116}|{2,14}|{3,448}|{8,10000}|{9,10000}}</v>
      </c>
    </row>
    <row r="21" spans="10:12">
      <c r="J21" t="s">
        <v>302</v>
      </c>
      <c r="K21" t="s">
        <v>473</v>
      </c>
      <c r="L21" t="str">
        <f t="shared" si="0"/>
        <v>{{1,115}|{2,15}|{3,449}|{8,10000}|{9,10000}}</v>
      </c>
    </row>
    <row r="22" spans="10:12">
      <c r="J22" t="s">
        <v>77</v>
      </c>
      <c r="K22" t="s">
        <v>473</v>
      </c>
      <c r="L22" t="str">
        <f t="shared" si="0"/>
        <v>{{1,115}|{2,15}|{3,449}|{8,10000}|{9,10000}}</v>
      </c>
    </row>
    <row r="23" spans="10:12">
      <c r="J23" t="s">
        <v>81</v>
      </c>
      <c r="K23" t="s">
        <v>471</v>
      </c>
      <c r="L23" t="str">
        <f t="shared" si="0"/>
        <v>{{1,116}|{2,14}|{3,448}|{8,10000}|{9,10000}}</v>
      </c>
    </row>
    <row r="24" spans="10:12">
      <c r="J24" t="s">
        <v>85</v>
      </c>
      <c r="K24" t="s">
        <v>472</v>
      </c>
      <c r="L24" t="str">
        <f t="shared" si="0"/>
        <v>{{1,113}|{2,17}|{3,451}|{8,10000}|{9,10000}}</v>
      </c>
    </row>
    <row r="25" spans="10:12">
      <c r="J25" t="s">
        <v>89</v>
      </c>
      <c r="K25" t="s">
        <v>471</v>
      </c>
      <c r="L25" t="str">
        <f t="shared" si="0"/>
        <v>{{1,116}|{2,14}|{3,448}|{8,10000}|{9,10000}}</v>
      </c>
    </row>
    <row r="26" spans="10:12">
      <c r="J26" t="s">
        <v>92</v>
      </c>
      <c r="K26" t="s">
        <v>472</v>
      </c>
      <c r="L26" t="str">
        <f t="shared" si="0"/>
        <v>{{1,113}|{2,17}|{3,451}|{8,10000}|{9,10000}}</v>
      </c>
    </row>
    <row r="27" spans="10:12">
      <c r="J27" t="s">
        <v>96</v>
      </c>
      <c r="K27" t="s">
        <v>474</v>
      </c>
      <c r="L27" t="str">
        <f t="shared" si="0"/>
        <v>{{1,114}|{2,16}|{3,450}|{8,10000}|{9,10000}}</v>
      </c>
    </row>
    <row r="28" spans="10:12">
      <c r="J28" t="s">
        <v>99</v>
      </c>
      <c r="K28" t="s">
        <v>473</v>
      </c>
      <c r="L28" t="str">
        <f t="shared" si="0"/>
        <v>{{1,115}|{2,15}|{3,449}|{8,10000}|{9,10000}}</v>
      </c>
    </row>
    <row r="29" spans="10:12">
      <c r="J29" t="s">
        <v>102</v>
      </c>
      <c r="K29" t="s">
        <v>472</v>
      </c>
      <c r="L29" t="str">
        <f t="shared" si="0"/>
        <v>{{1,113}|{2,17}|{3,451}|{8,10000}|{9,10000}}</v>
      </c>
    </row>
    <row r="30" spans="10:12">
      <c r="J30" t="s">
        <v>105</v>
      </c>
      <c r="K30" t="s">
        <v>473</v>
      </c>
      <c r="L30" t="str">
        <f t="shared" si="0"/>
        <v>{{1,115}|{2,15}|{3,449}|{8,10000}|{9,10000}}</v>
      </c>
    </row>
    <row r="31" spans="10:12">
      <c r="J31" t="s">
        <v>108</v>
      </c>
      <c r="K31" t="s">
        <v>471</v>
      </c>
      <c r="L31" t="str">
        <f t="shared" si="0"/>
        <v>{{1,116}|{2,14}|{3,448}|{8,10000}|{9,10000}}</v>
      </c>
    </row>
    <row r="32" spans="10:12">
      <c r="J32" t="s">
        <v>112</v>
      </c>
      <c r="K32" t="s">
        <v>473</v>
      </c>
      <c r="L32" t="str">
        <f t="shared" si="0"/>
        <v>{{1,115}|{2,15}|{3,449}|{8,10000}|{9,10000}}</v>
      </c>
    </row>
    <row r="33" spans="10:12">
      <c r="J33" t="s">
        <v>115</v>
      </c>
      <c r="K33" t="s">
        <v>472</v>
      </c>
      <c r="L33" t="str">
        <f t="shared" si="0"/>
        <v>{{1,113}|{2,17}|{3,451}|{8,10000}|{9,10000}}</v>
      </c>
    </row>
    <row r="34" spans="10:12">
      <c r="J34" t="s">
        <v>117</v>
      </c>
      <c r="K34" t="s">
        <v>472</v>
      </c>
      <c r="L34" t="str">
        <f t="shared" si="0"/>
        <v>{{1,113}|{2,17}|{3,451}|{8,10000}|{9,10000}}</v>
      </c>
    </row>
    <row r="35" spans="10:12">
      <c r="J35" t="s">
        <v>120</v>
      </c>
      <c r="K35" t="s">
        <v>473</v>
      </c>
      <c r="L35" t="str">
        <f t="shared" si="0"/>
        <v>{{1,115}|{2,15}|{3,449}|{8,10000}|{9,10000}}</v>
      </c>
    </row>
    <row r="36" spans="10:12">
      <c r="J36" t="s">
        <v>122</v>
      </c>
      <c r="K36" t="s">
        <v>473</v>
      </c>
      <c r="L36" t="str">
        <f t="shared" si="0"/>
        <v>{{1,115}|{2,15}|{3,449}|{8,10000}|{9,10000}}</v>
      </c>
    </row>
    <row r="37" spans="10:12">
      <c r="J37" t="s">
        <v>125</v>
      </c>
      <c r="K37" t="s">
        <v>474</v>
      </c>
      <c r="L37" t="str">
        <f t="shared" si="0"/>
        <v>{{1,114}|{2,16}|{3,450}|{8,10000}|{9,10000}}</v>
      </c>
    </row>
    <row r="38" spans="10:12">
      <c r="J38" t="s">
        <v>128</v>
      </c>
      <c r="K38" t="s">
        <v>472</v>
      </c>
      <c r="L38" t="str">
        <f t="shared" si="0"/>
        <v>{{1,113}|{2,17}|{3,451}|{8,10000}|{9,10000}}</v>
      </c>
    </row>
    <row r="39" spans="10:12">
      <c r="J39" t="s">
        <v>131</v>
      </c>
      <c r="K39" t="s">
        <v>473</v>
      </c>
      <c r="L39" t="str">
        <f t="shared" si="0"/>
        <v>{{1,115}|{2,15}|{3,449}|{8,10000}|{9,10000}}</v>
      </c>
    </row>
    <row r="40" spans="10:12">
      <c r="J40" t="s">
        <v>134</v>
      </c>
      <c r="K40" t="s">
        <v>473</v>
      </c>
      <c r="L40" t="str">
        <f t="shared" si="0"/>
        <v>{{1,115}|{2,15}|{3,449}|{8,10000}|{9,10000}}</v>
      </c>
    </row>
    <row r="41" spans="10:12">
      <c r="J41" t="s">
        <v>137</v>
      </c>
      <c r="K41" t="s">
        <v>471</v>
      </c>
      <c r="L41" t="str">
        <f t="shared" si="0"/>
        <v>{{1,116}|{2,14}|{3,448}|{8,10000}|{9,10000}}</v>
      </c>
    </row>
    <row r="42" spans="10:12">
      <c r="J42" t="s">
        <v>140</v>
      </c>
      <c r="K42" t="s">
        <v>473</v>
      </c>
      <c r="L42" t="str">
        <f t="shared" si="0"/>
        <v>{{1,115}|{2,15}|{3,449}|{8,10000}|{9,10000}}</v>
      </c>
    </row>
    <row r="43" spans="10:12">
      <c r="J43" t="s">
        <v>142</v>
      </c>
      <c r="K43" t="s">
        <v>472</v>
      </c>
      <c r="L43" t="str">
        <f t="shared" si="0"/>
        <v>{{1,113}|{2,17}|{3,451}|{8,10000}|{9,10000}}</v>
      </c>
    </row>
    <row r="44" spans="10:12">
      <c r="J44" t="s">
        <v>145</v>
      </c>
      <c r="K44" t="s">
        <v>471</v>
      </c>
      <c r="L44" t="str">
        <f t="shared" si="0"/>
        <v>{{1,116}|{2,14}|{3,448}|{8,10000}|{9,10000}}</v>
      </c>
    </row>
    <row r="45" spans="10:12">
      <c r="J45" t="s">
        <v>147</v>
      </c>
      <c r="K45" t="s">
        <v>471</v>
      </c>
      <c r="L45" t="str">
        <f t="shared" si="0"/>
        <v>{{1,116}|{2,14}|{3,448}|{8,10000}|{9,10000}}</v>
      </c>
    </row>
    <row r="46" spans="10:12">
      <c r="J46" t="s">
        <v>150</v>
      </c>
      <c r="K46" t="s">
        <v>473</v>
      </c>
      <c r="L46" t="str">
        <f t="shared" si="0"/>
        <v>{{1,115}|{2,15}|{3,449}|{8,10000}|{9,10000}}</v>
      </c>
    </row>
    <row r="47" spans="10:12">
      <c r="J47" t="s">
        <v>154</v>
      </c>
      <c r="K47" t="s">
        <v>472</v>
      </c>
      <c r="L47" t="str">
        <f t="shared" si="0"/>
        <v>{{1,113}|{2,17}|{3,451}|{8,10000}|{9,10000}}</v>
      </c>
    </row>
    <row r="48" spans="10:12">
      <c r="J48" t="s">
        <v>157</v>
      </c>
      <c r="K48" t="s">
        <v>473</v>
      </c>
      <c r="L48" t="str">
        <f t="shared" si="0"/>
        <v>{{1,115}|{2,15}|{3,449}|{8,10000}|{9,10000}}</v>
      </c>
    </row>
    <row r="49" spans="10:12">
      <c r="J49" t="s">
        <v>159</v>
      </c>
      <c r="K49" t="s">
        <v>472</v>
      </c>
      <c r="L49" t="str">
        <f t="shared" si="0"/>
        <v>{{1,113}|{2,17}|{3,451}|{8,10000}|{9,10000}}</v>
      </c>
    </row>
    <row r="50" spans="10:12">
      <c r="J50" t="s">
        <v>161</v>
      </c>
      <c r="K50" t="s">
        <v>471</v>
      </c>
      <c r="L50" t="str">
        <f t="shared" si="0"/>
        <v>{{1,116}|{2,14}|{3,448}|{8,10000}|{9,10000}}</v>
      </c>
    </row>
    <row r="51" spans="10:12">
      <c r="J51" t="s">
        <v>163</v>
      </c>
      <c r="K51" t="s">
        <v>471</v>
      </c>
      <c r="L51" t="str">
        <f t="shared" si="0"/>
        <v>{{1,116}|{2,14}|{3,448}|{8,10000}|{9,10000}}</v>
      </c>
    </row>
    <row r="52" spans="10:12">
      <c r="J52" t="s">
        <v>166</v>
      </c>
      <c r="K52" t="s">
        <v>471</v>
      </c>
      <c r="L52" t="str">
        <f t="shared" si="0"/>
        <v>{{1,116}|{2,14}|{3,448}|{8,10000}|{9,10000}}</v>
      </c>
    </row>
    <row r="53" spans="10:12">
      <c r="J53" t="s">
        <v>169</v>
      </c>
      <c r="K53" t="s">
        <v>472</v>
      </c>
      <c r="L53" t="str">
        <f t="shared" si="0"/>
        <v>{{1,113}|{2,17}|{3,451}|{8,10000}|{9,10000}}</v>
      </c>
    </row>
    <row r="54" spans="10:12">
      <c r="J54" t="s">
        <v>311</v>
      </c>
      <c r="K54" t="s">
        <v>472</v>
      </c>
      <c r="L54" t="str">
        <f t="shared" si="0"/>
        <v>{{1,113}|{2,17}|{3,451}|{8,10000}|{9,10000}}</v>
      </c>
    </row>
    <row r="55" spans="10:12">
      <c r="J55" t="s">
        <v>171</v>
      </c>
      <c r="K55" t="s">
        <v>471</v>
      </c>
      <c r="L55" t="str">
        <f t="shared" si="0"/>
        <v>{{1,116}|{2,14}|{3,448}|{8,10000}|{9,10000}}</v>
      </c>
    </row>
    <row r="56" spans="10:12">
      <c r="J56" t="s">
        <v>173</v>
      </c>
      <c r="K56" t="s">
        <v>473</v>
      </c>
      <c r="L56" t="str">
        <f t="shared" si="0"/>
        <v>{{1,115}|{2,15}|{3,449}|{8,10000}|{9,10000}}</v>
      </c>
    </row>
    <row r="57" spans="10:12">
      <c r="J57" t="s">
        <v>176</v>
      </c>
      <c r="K57" t="s">
        <v>473</v>
      </c>
      <c r="L57" t="str">
        <f t="shared" si="0"/>
        <v>{{1,115}|{2,15}|{3,449}|{8,10000}|{9,10000}}</v>
      </c>
    </row>
    <row r="58" spans="10:12">
      <c r="J58" t="s">
        <v>179</v>
      </c>
      <c r="K58" t="s">
        <v>472</v>
      </c>
      <c r="L58" t="str">
        <f t="shared" si="0"/>
        <v>{{1,113}|{2,17}|{3,451}|{8,10000}|{9,10000}}</v>
      </c>
    </row>
    <row r="59" spans="10:12">
      <c r="J59" t="s">
        <v>181</v>
      </c>
      <c r="K59" t="s">
        <v>472</v>
      </c>
      <c r="L59" t="str">
        <f t="shared" si="0"/>
        <v>{{1,113}|{2,17}|{3,451}|{8,10000}|{9,10000}}</v>
      </c>
    </row>
    <row r="60" spans="10:12">
      <c r="J60" t="s">
        <v>183</v>
      </c>
      <c r="K60" t="s">
        <v>471</v>
      </c>
      <c r="L60" t="str">
        <f t="shared" si="0"/>
        <v>{{1,116}|{2,14}|{3,448}|{8,10000}|{9,10000}}</v>
      </c>
    </row>
    <row r="61" spans="10:12">
      <c r="J61" t="s">
        <v>186</v>
      </c>
      <c r="K61" t="s">
        <v>471</v>
      </c>
      <c r="L61" t="str">
        <f t="shared" si="0"/>
        <v>{{1,116}|{2,14}|{3,448}|{8,10000}|{9,10000}}</v>
      </c>
    </row>
    <row r="62" spans="10:12">
      <c r="J62" t="s">
        <v>189</v>
      </c>
      <c r="K62" t="s">
        <v>472</v>
      </c>
      <c r="L62" t="str">
        <f t="shared" si="0"/>
        <v>{{1,113}|{2,17}|{3,451}|{8,10000}|{9,10000}}</v>
      </c>
    </row>
    <row r="63" spans="10:12">
      <c r="J63" t="s">
        <v>191</v>
      </c>
      <c r="K63" t="s">
        <v>471</v>
      </c>
      <c r="L63" t="str">
        <f t="shared" si="0"/>
        <v>{{1,116}|{2,14}|{3,448}|{8,10000}|{9,10000}}</v>
      </c>
    </row>
    <row r="64" spans="10:12">
      <c r="J64" t="s">
        <v>194</v>
      </c>
      <c r="K64" t="s">
        <v>473</v>
      </c>
      <c r="L64" t="str">
        <f t="shared" si="0"/>
        <v>{{1,115}|{2,15}|{3,449}|{8,10000}|{9,10000}}</v>
      </c>
    </row>
    <row r="65" spans="10:12">
      <c r="J65" t="s">
        <v>196</v>
      </c>
      <c r="K65" t="s">
        <v>473</v>
      </c>
      <c r="L65" t="str">
        <f t="shared" si="0"/>
        <v>{{1,115}|{2,15}|{3,449}|{8,10000}|{9,10000}}</v>
      </c>
    </row>
    <row r="66" spans="10:12">
      <c r="J66" t="s">
        <v>198</v>
      </c>
      <c r="K66" t="s">
        <v>471</v>
      </c>
      <c r="L66" t="str">
        <f t="shared" si="0"/>
        <v>{{1,116}|{2,14}|{3,448}|{8,10000}|{9,10000}}</v>
      </c>
    </row>
    <row r="67" spans="10:12">
      <c r="J67" t="s">
        <v>200</v>
      </c>
      <c r="K67" t="s">
        <v>473</v>
      </c>
      <c r="L67" t="str">
        <f t="shared" si="0"/>
        <v>{{1,115}|{2,15}|{3,449}|{8,10000}|{9,10000}}</v>
      </c>
    </row>
    <row r="68" spans="10:12">
      <c r="J68" t="s">
        <v>202</v>
      </c>
      <c r="K68" t="s">
        <v>471</v>
      </c>
      <c r="L68" t="str">
        <f t="shared" si="0"/>
        <v>{{1,116}|{2,14}|{3,448}|{8,10000}|{9,10000}}</v>
      </c>
    </row>
    <row r="69" spans="10:12">
      <c r="J69" t="s">
        <v>204</v>
      </c>
      <c r="K69" t="s">
        <v>475</v>
      </c>
      <c r="L69" t="str">
        <f t="shared" si="0"/>
        <v>{{1,55}|{2,15}|{3,449}|{8,10000}|{9,10000}}</v>
      </c>
    </row>
    <row r="70" spans="10:12">
      <c r="J70" t="s">
        <v>207</v>
      </c>
      <c r="K70" t="s">
        <v>473</v>
      </c>
      <c r="L70" t="str">
        <f t="shared" ref="L70:L133" si="1">VLOOKUP(J70,$J$5:$K$260,2,0)</f>
        <v>{{1,115}|{2,15}|{3,449}|{8,10000}|{9,10000}}</v>
      </c>
    </row>
    <row r="71" spans="10:12">
      <c r="J71" t="s">
        <v>210</v>
      </c>
      <c r="K71" t="s">
        <v>471</v>
      </c>
      <c r="L71" t="str">
        <f t="shared" si="1"/>
        <v>{{1,116}|{2,14}|{3,448}|{8,10000}|{9,10000}}</v>
      </c>
    </row>
    <row r="72" spans="10:12">
      <c r="J72" t="s">
        <v>213</v>
      </c>
      <c r="K72" t="s">
        <v>476</v>
      </c>
      <c r="L72" t="str">
        <f t="shared" si="1"/>
        <v>{{1,93}|{2,17}|{3,451}|{8,10000}|{9,10000}}</v>
      </c>
    </row>
    <row r="73" spans="10:12">
      <c r="J73" t="s">
        <v>215</v>
      </c>
      <c r="K73" t="s">
        <v>471</v>
      </c>
      <c r="L73" t="str">
        <f t="shared" si="1"/>
        <v>{{1,116}|{2,14}|{3,448}|{8,10000}|{9,10000}}</v>
      </c>
    </row>
    <row r="74" spans="10:12">
      <c r="J74" t="s">
        <v>318</v>
      </c>
      <c r="K74" t="s">
        <v>473</v>
      </c>
      <c r="L74" t="str">
        <f t="shared" si="1"/>
        <v>{{1,115}|{2,15}|{3,449}|{8,10000}|{9,10000}}</v>
      </c>
    </row>
    <row r="75" spans="10:12">
      <c r="J75" t="s">
        <v>222</v>
      </c>
      <c r="K75" t="s">
        <v>473</v>
      </c>
      <c r="L75" t="str">
        <f t="shared" si="1"/>
        <v>{{1,115}|{2,15}|{3,449}|{8,10000}|{9,10000}}</v>
      </c>
    </row>
    <row r="76" spans="10:12">
      <c r="J76" t="s">
        <v>226</v>
      </c>
      <c r="K76" t="s">
        <v>473</v>
      </c>
      <c r="L76" t="str">
        <f t="shared" si="1"/>
        <v>{{1,115}|{2,15}|{3,449}|{8,10000}|{9,10000}}</v>
      </c>
    </row>
    <row r="77" spans="10:12">
      <c r="J77" t="s">
        <v>319</v>
      </c>
      <c r="K77" t="s">
        <v>472</v>
      </c>
      <c r="L77" t="str">
        <f t="shared" si="1"/>
        <v>{{1,113}|{2,17}|{3,451}|{8,10000}|{9,10000}}</v>
      </c>
    </row>
    <row r="78" spans="10:12">
      <c r="J78" t="s">
        <v>231</v>
      </c>
      <c r="K78" t="s">
        <v>472</v>
      </c>
      <c r="L78" t="str">
        <f t="shared" si="1"/>
        <v>{{1,113}|{2,17}|{3,451}|{8,10000}|{9,10000}}</v>
      </c>
    </row>
    <row r="79" spans="10:12">
      <c r="J79" t="s">
        <v>234</v>
      </c>
      <c r="K79" t="s">
        <v>471</v>
      </c>
      <c r="L79" t="str">
        <f t="shared" si="1"/>
        <v>{{1,116}|{2,14}|{3,448}|{8,10000}|{9,10000}}</v>
      </c>
    </row>
    <row r="80" spans="10:12">
      <c r="J80" t="s">
        <v>236</v>
      </c>
      <c r="K80" t="s">
        <v>474</v>
      </c>
      <c r="L80" t="str">
        <f t="shared" si="1"/>
        <v>{{1,114}|{2,16}|{3,450}|{8,10000}|{9,10000}}</v>
      </c>
    </row>
    <row r="81" spans="10:12">
      <c r="J81" t="s">
        <v>239</v>
      </c>
      <c r="K81" t="s">
        <v>474</v>
      </c>
      <c r="L81" t="str">
        <f t="shared" si="1"/>
        <v>{{1,114}|{2,16}|{3,450}|{8,10000}|{9,10000}}</v>
      </c>
    </row>
    <row r="82" spans="10:12">
      <c r="J82" t="s">
        <v>242</v>
      </c>
      <c r="K82" t="s">
        <v>477</v>
      </c>
      <c r="L82" t="str">
        <f t="shared" si="1"/>
        <v>{{1,93}|{2,14}|{3,448}|{8,10000}|{9,10000}}</v>
      </c>
    </row>
    <row r="83" spans="10:12">
      <c r="J83" t="s">
        <v>244</v>
      </c>
      <c r="K83" t="s">
        <v>474</v>
      </c>
      <c r="L83" t="str">
        <f t="shared" si="1"/>
        <v>{{1,114}|{2,16}|{3,450}|{8,10000}|{9,10000}}</v>
      </c>
    </row>
    <row r="84" spans="10:12">
      <c r="J84" t="s">
        <v>246</v>
      </c>
      <c r="K84" t="s">
        <v>478</v>
      </c>
      <c r="L84" t="str">
        <f t="shared" si="1"/>
        <v>{{1,115}|{2,15}|{3,349}|{8,10000}|{9,10000}}</v>
      </c>
    </row>
    <row r="85" spans="10:12">
      <c r="J85" t="s">
        <v>249</v>
      </c>
      <c r="K85" t="s">
        <v>472</v>
      </c>
      <c r="L85" t="str">
        <f t="shared" si="1"/>
        <v>{{1,113}|{2,17}|{3,451}|{8,10000}|{9,10000}}</v>
      </c>
    </row>
    <row r="86" spans="10:12">
      <c r="J86" t="s">
        <v>251</v>
      </c>
      <c r="K86" t="s">
        <v>474</v>
      </c>
      <c r="L86" t="str">
        <f t="shared" si="1"/>
        <v>{{1,114}|{2,16}|{3,450}|{8,10000}|{9,10000}}</v>
      </c>
    </row>
    <row r="87" spans="10:12">
      <c r="J87" t="s">
        <v>253</v>
      </c>
      <c r="K87" t="s">
        <v>472</v>
      </c>
      <c r="L87" t="str">
        <f t="shared" si="1"/>
        <v>{{1,113}|{2,17}|{3,451}|{8,10000}|{9,10000}}</v>
      </c>
    </row>
    <row r="88" spans="10:12">
      <c r="J88" t="s">
        <v>256</v>
      </c>
      <c r="K88" t="s">
        <v>474</v>
      </c>
      <c r="L88" t="str">
        <f t="shared" si="1"/>
        <v>{{1,114}|{2,16}|{3,450}|{8,10000}|{9,10000}}</v>
      </c>
    </row>
    <row r="89" spans="10:12">
      <c r="J89" t="s">
        <v>257</v>
      </c>
      <c r="K89" t="s">
        <v>472</v>
      </c>
      <c r="L89" t="str">
        <f t="shared" si="1"/>
        <v>{{1,113}|{2,17}|{3,451}|{8,10000}|{9,10000}}</v>
      </c>
    </row>
    <row r="90" spans="10:12">
      <c r="J90" t="s">
        <v>32</v>
      </c>
      <c r="K90" t="s">
        <v>471</v>
      </c>
      <c r="L90" t="str">
        <f t="shared" si="1"/>
        <v>{{1,116}|{2,14}|{3,448}|{8,10000}|{9,10000}}</v>
      </c>
    </row>
    <row r="91" spans="10:12">
      <c r="J91" t="s">
        <v>36</v>
      </c>
      <c r="K91" t="s">
        <v>472</v>
      </c>
      <c r="L91" t="str">
        <f t="shared" si="1"/>
        <v>{{1,113}|{2,17}|{3,451}|{8,10000}|{9,10000}}</v>
      </c>
    </row>
    <row r="92" spans="10:12">
      <c r="J92" t="s">
        <v>40</v>
      </c>
      <c r="K92" t="s">
        <v>473</v>
      </c>
      <c r="L92" t="str">
        <f t="shared" si="1"/>
        <v>{{1,115}|{2,15}|{3,449}|{8,10000}|{9,10000}}</v>
      </c>
    </row>
    <row r="93" spans="10:12">
      <c r="J93" t="s">
        <v>43</v>
      </c>
      <c r="K93" t="s">
        <v>473</v>
      </c>
      <c r="L93" t="str">
        <f t="shared" si="1"/>
        <v>{{1,115}|{2,15}|{3,449}|{8,10000}|{9,10000}}</v>
      </c>
    </row>
    <row r="94" spans="10:12">
      <c r="J94" t="s">
        <v>299</v>
      </c>
      <c r="K94" t="s">
        <v>472</v>
      </c>
      <c r="L94" t="str">
        <f t="shared" si="1"/>
        <v>{{1,113}|{2,17}|{3,451}|{8,10000}|{9,10000}}</v>
      </c>
    </row>
    <row r="95" spans="10:12">
      <c r="J95" t="s">
        <v>46</v>
      </c>
      <c r="K95" t="s">
        <v>471</v>
      </c>
      <c r="L95" t="str">
        <f t="shared" si="1"/>
        <v>{{1,116}|{2,14}|{3,448}|{8,10000}|{9,10000}}</v>
      </c>
    </row>
    <row r="96" spans="10:12">
      <c r="J96" t="s">
        <v>50</v>
      </c>
      <c r="K96" t="s">
        <v>474</v>
      </c>
      <c r="L96" t="str">
        <f t="shared" si="1"/>
        <v>{{1,114}|{2,16}|{3,450}|{8,10000}|{9,10000}}</v>
      </c>
    </row>
    <row r="97" spans="10:12">
      <c r="J97" t="s">
        <v>53</v>
      </c>
      <c r="K97" t="s">
        <v>471</v>
      </c>
      <c r="L97" t="str">
        <f t="shared" si="1"/>
        <v>{{1,116}|{2,14}|{3,448}|{8,10000}|{9,10000}}</v>
      </c>
    </row>
    <row r="98" spans="10:12">
      <c r="J98" t="s">
        <v>300</v>
      </c>
      <c r="K98" t="s">
        <v>474</v>
      </c>
      <c r="L98" t="str">
        <f t="shared" si="1"/>
        <v>{{1,114}|{2,16}|{3,450}|{8,10000}|{9,10000}}</v>
      </c>
    </row>
    <row r="99" spans="10:12">
      <c r="J99" t="s">
        <v>301</v>
      </c>
      <c r="K99" t="s">
        <v>471</v>
      </c>
      <c r="L99" t="str">
        <f t="shared" si="1"/>
        <v>{{1,116}|{2,14}|{3,448}|{8,10000}|{9,10000}}</v>
      </c>
    </row>
    <row r="100" spans="10:12">
      <c r="J100" t="s">
        <v>57</v>
      </c>
      <c r="K100" t="s">
        <v>472</v>
      </c>
      <c r="L100" t="str">
        <f t="shared" si="1"/>
        <v>{{1,113}|{2,17}|{3,451}|{8,10000}|{9,10000}}</v>
      </c>
    </row>
    <row r="101" spans="10:12">
      <c r="J101" t="s">
        <v>60</v>
      </c>
      <c r="K101" t="s">
        <v>472</v>
      </c>
      <c r="L101" t="str">
        <f t="shared" si="1"/>
        <v>{{1,113}|{2,17}|{3,451}|{8,10000}|{9,10000}}</v>
      </c>
    </row>
    <row r="102" spans="10:12">
      <c r="J102" t="s">
        <v>64</v>
      </c>
      <c r="K102" t="s">
        <v>473</v>
      </c>
      <c r="L102" t="str">
        <f t="shared" si="1"/>
        <v>{{1,115}|{2,15}|{3,449}|{8,10000}|{9,10000}}</v>
      </c>
    </row>
    <row r="103" spans="10:12">
      <c r="J103" t="s">
        <v>68</v>
      </c>
      <c r="K103" t="s">
        <v>473</v>
      </c>
      <c r="L103" t="str">
        <f t="shared" si="1"/>
        <v>{{1,115}|{2,15}|{3,449}|{8,10000}|{9,10000}}</v>
      </c>
    </row>
    <row r="104" spans="10:12">
      <c r="J104" t="s">
        <v>72</v>
      </c>
      <c r="K104" t="s">
        <v>471</v>
      </c>
      <c r="L104" t="str">
        <f t="shared" si="1"/>
        <v>{{1,116}|{2,14}|{3,448}|{8,10000}|{9,10000}}</v>
      </c>
    </row>
    <row r="105" spans="10:12">
      <c r="J105" t="s">
        <v>75</v>
      </c>
      <c r="K105" t="s">
        <v>471</v>
      </c>
      <c r="L105" t="str">
        <f t="shared" si="1"/>
        <v>{{1,116}|{2,14}|{3,448}|{8,10000}|{9,10000}}</v>
      </c>
    </row>
    <row r="106" spans="10:12">
      <c r="J106" t="s">
        <v>302</v>
      </c>
      <c r="K106" t="s">
        <v>473</v>
      </c>
      <c r="L106" t="str">
        <f t="shared" si="1"/>
        <v>{{1,115}|{2,15}|{3,449}|{8,10000}|{9,10000}}</v>
      </c>
    </row>
    <row r="107" spans="10:12">
      <c r="J107" t="s">
        <v>77</v>
      </c>
      <c r="K107" t="s">
        <v>473</v>
      </c>
      <c r="L107" t="str">
        <f t="shared" si="1"/>
        <v>{{1,115}|{2,15}|{3,449}|{8,10000}|{9,10000}}</v>
      </c>
    </row>
    <row r="108" spans="10:12">
      <c r="J108" t="s">
        <v>81</v>
      </c>
      <c r="K108" t="s">
        <v>471</v>
      </c>
      <c r="L108" t="str">
        <f t="shared" si="1"/>
        <v>{{1,116}|{2,14}|{3,448}|{8,10000}|{9,10000}}</v>
      </c>
    </row>
    <row r="109" spans="10:12">
      <c r="J109" t="s">
        <v>85</v>
      </c>
      <c r="K109" t="s">
        <v>472</v>
      </c>
      <c r="L109" t="str">
        <f t="shared" si="1"/>
        <v>{{1,113}|{2,17}|{3,451}|{8,10000}|{9,10000}}</v>
      </c>
    </row>
    <row r="110" spans="10:12">
      <c r="J110" t="s">
        <v>89</v>
      </c>
      <c r="K110" t="s">
        <v>471</v>
      </c>
      <c r="L110" t="str">
        <f t="shared" si="1"/>
        <v>{{1,116}|{2,14}|{3,448}|{8,10000}|{9,10000}}</v>
      </c>
    </row>
    <row r="111" spans="10:12">
      <c r="J111" t="s">
        <v>92</v>
      </c>
      <c r="K111" t="s">
        <v>472</v>
      </c>
      <c r="L111" t="str">
        <f t="shared" si="1"/>
        <v>{{1,113}|{2,17}|{3,451}|{8,10000}|{9,10000}}</v>
      </c>
    </row>
    <row r="112" spans="10:12">
      <c r="J112" t="s">
        <v>96</v>
      </c>
      <c r="K112" t="s">
        <v>474</v>
      </c>
      <c r="L112" t="str">
        <f t="shared" si="1"/>
        <v>{{1,114}|{2,16}|{3,450}|{8,10000}|{9,10000}}</v>
      </c>
    </row>
    <row r="113" spans="10:12">
      <c r="J113" t="s">
        <v>99</v>
      </c>
      <c r="K113" t="s">
        <v>473</v>
      </c>
      <c r="L113" t="str">
        <f t="shared" si="1"/>
        <v>{{1,115}|{2,15}|{3,449}|{8,10000}|{9,10000}}</v>
      </c>
    </row>
    <row r="114" spans="10:12">
      <c r="J114" t="s">
        <v>102</v>
      </c>
      <c r="K114" t="s">
        <v>472</v>
      </c>
      <c r="L114" t="str">
        <f t="shared" si="1"/>
        <v>{{1,113}|{2,17}|{3,451}|{8,10000}|{9,10000}}</v>
      </c>
    </row>
    <row r="115" spans="10:12">
      <c r="J115" t="s">
        <v>105</v>
      </c>
      <c r="K115" t="s">
        <v>473</v>
      </c>
      <c r="L115" t="str">
        <f t="shared" si="1"/>
        <v>{{1,115}|{2,15}|{3,449}|{8,10000}|{9,10000}}</v>
      </c>
    </row>
    <row r="116" spans="10:12">
      <c r="J116" t="s">
        <v>108</v>
      </c>
      <c r="K116" t="s">
        <v>471</v>
      </c>
      <c r="L116" t="str">
        <f t="shared" si="1"/>
        <v>{{1,116}|{2,14}|{3,448}|{8,10000}|{9,10000}}</v>
      </c>
    </row>
    <row r="117" spans="10:12">
      <c r="J117" t="s">
        <v>112</v>
      </c>
      <c r="K117" t="s">
        <v>473</v>
      </c>
      <c r="L117" t="str">
        <f t="shared" si="1"/>
        <v>{{1,115}|{2,15}|{3,449}|{8,10000}|{9,10000}}</v>
      </c>
    </row>
    <row r="118" spans="10:12">
      <c r="J118" t="s">
        <v>115</v>
      </c>
      <c r="K118" t="s">
        <v>472</v>
      </c>
      <c r="L118" t="str">
        <f t="shared" si="1"/>
        <v>{{1,113}|{2,17}|{3,451}|{8,10000}|{9,10000}}</v>
      </c>
    </row>
    <row r="119" spans="10:12">
      <c r="J119" t="s">
        <v>117</v>
      </c>
      <c r="K119" t="s">
        <v>472</v>
      </c>
      <c r="L119" t="str">
        <f t="shared" si="1"/>
        <v>{{1,113}|{2,17}|{3,451}|{8,10000}|{9,10000}}</v>
      </c>
    </row>
    <row r="120" spans="10:12">
      <c r="J120" t="s">
        <v>120</v>
      </c>
      <c r="K120" t="s">
        <v>473</v>
      </c>
      <c r="L120" t="str">
        <f t="shared" si="1"/>
        <v>{{1,115}|{2,15}|{3,449}|{8,10000}|{9,10000}}</v>
      </c>
    </row>
    <row r="121" spans="10:12">
      <c r="J121" t="s">
        <v>122</v>
      </c>
      <c r="K121" t="s">
        <v>473</v>
      </c>
      <c r="L121" t="str">
        <f t="shared" si="1"/>
        <v>{{1,115}|{2,15}|{3,449}|{8,10000}|{9,10000}}</v>
      </c>
    </row>
    <row r="122" spans="10:12">
      <c r="J122" t="s">
        <v>125</v>
      </c>
      <c r="K122" t="s">
        <v>474</v>
      </c>
      <c r="L122" t="str">
        <f t="shared" si="1"/>
        <v>{{1,114}|{2,16}|{3,450}|{8,10000}|{9,10000}}</v>
      </c>
    </row>
    <row r="123" spans="10:12">
      <c r="J123" t="s">
        <v>128</v>
      </c>
      <c r="K123" t="s">
        <v>472</v>
      </c>
      <c r="L123" t="str">
        <f t="shared" si="1"/>
        <v>{{1,113}|{2,17}|{3,451}|{8,10000}|{9,10000}}</v>
      </c>
    </row>
    <row r="124" spans="10:12">
      <c r="J124" t="s">
        <v>131</v>
      </c>
      <c r="K124" t="s">
        <v>473</v>
      </c>
      <c r="L124" t="str">
        <f t="shared" si="1"/>
        <v>{{1,115}|{2,15}|{3,449}|{8,10000}|{9,10000}}</v>
      </c>
    </row>
    <row r="125" spans="10:12">
      <c r="J125" t="s">
        <v>134</v>
      </c>
      <c r="K125" t="s">
        <v>473</v>
      </c>
      <c r="L125" t="str">
        <f t="shared" si="1"/>
        <v>{{1,115}|{2,15}|{3,449}|{8,10000}|{9,10000}}</v>
      </c>
    </row>
    <row r="126" spans="10:12">
      <c r="J126" t="s">
        <v>137</v>
      </c>
      <c r="K126" t="s">
        <v>471</v>
      </c>
      <c r="L126" t="str">
        <f t="shared" si="1"/>
        <v>{{1,116}|{2,14}|{3,448}|{8,10000}|{9,10000}}</v>
      </c>
    </row>
    <row r="127" spans="10:12">
      <c r="J127" t="s">
        <v>140</v>
      </c>
      <c r="K127" t="s">
        <v>473</v>
      </c>
      <c r="L127" t="str">
        <f t="shared" si="1"/>
        <v>{{1,115}|{2,15}|{3,449}|{8,10000}|{9,10000}}</v>
      </c>
    </row>
    <row r="128" spans="10:12">
      <c r="J128" t="s">
        <v>142</v>
      </c>
      <c r="K128" t="s">
        <v>472</v>
      </c>
      <c r="L128" t="str">
        <f t="shared" si="1"/>
        <v>{{1,113}|{2,17}|{3,451}|{8,10000}|{9,10000}}</v>
      </c>
    </row>
    <row r="129" spans="10:12">
      <c r="J129" t="s">
        <v>145</v>
      </c>
      <c r="K129" t="s">
        <v>471</v>
      </c>
      <c r="L129" t="str">
        <f t="shared" si="1"/>
        <v>{{1,116}|{2,14}|{3,448}|{8,10000}|{9,10000}}</v>
      </c>
    </row>
    <row r="130" spans="10:12">
      <c r="J130" t="s">
        <v>147</v>
      </c>
      <c r="K130" t="s">
        <v>471</v>
      </c>
      <c r="L130" t="str">
        <f t="shared" si="1"/>
        <v>{{1,116}|{2,14}|{3,448}|{8,10000}|{9,10000}}</v>
      </c>
    </row>
    <row r="131" spans="10:12">
      <c r="J131" t="s">
        <v>150</v>
      </c>
      <c r="K131" t="s">
        <v>473</v>
      </c>
      <c r="L131" t="str">
        <f t="shared" si="1"/>
        <v>{{1,115}|{2,15}|{3,449}|{8,10000}|{9,10000}}</v>
      </c>
    </row>
    <row r="132" spans="10:12">
      <c r="J132" t="s">
        <v>154</v>
      </c>
      <c r="K132" t="s">
        <v>472</v>
      </c>
      <c r="L132" t="str">
        <f t="shared" si="1"/>
        <v>{{1,113}|{2,17}|{3,451}|{8,10000}|{9,10000}}</v>
      </c>
    </row>
    <row r="133" spans="10:12">
      <c r="J133" t="s">
        <v>157</v>
      </c>
      <c r="K133" t="s">
        <v>473</v>
      </c>
      <c r="L133" t="str">
        <f t="shared" si="1"/>
        <v>{{1,115}|{2,15}|{3,449}|{8,10000}|{9,10000}}</v>
      </c>
    </row>
    <row r="134" spans="10:12">
      <c r="J134" t="s">
        <v>159</v>
      </c>
      <c r="K134" t="s">
        <v>472</v>
      </c>
      <c r="L134" t="str">
        <f t="shared" ref="L134:L197" si="2">VLOOKUP(J134,$J$5:$K$260,2,0)</f>
        <v>{{1,113}|{2,17}|{3,451}|{8,10000}|{9,10000}}</v>
      </c>
    </row>
    <row r="135" spans="10:12">
      <c r="J135" t="s">
        <v>161</v>
      </c>
      <c r="K135" t="s">
        <v>471</v>
      </c>
      <c r="L135" t="str">
        <f t="shared" si="2"/>
        <v>{{1,116}|{2,14}|{3,448}|{8,10000}|{9,10000}}</v>
      </c>
    </row>
    <row r="136" spans="10:12">
      <c r="J136" t="s">
        <v>163</v>
      </c>
      <c r="K136" t="s">
        <v>471</v>
      </c>
      <c r="L136" t="str">
        <f t="shared" si="2"/>
        <v>{{1,116}|{2,14}|{3,448}|{8,10000}|{9,10000}}</v>
      </c>
    </row>
    <row r="137" spans="10:12">
      <c r="J137" t="s">
        <v>166</v>
      </c>
      <c r="K137" t="s">
        <v>471</v>
      </c>
      <c r="L137" t="str">
        <f t="shared" si="2"/>
        <v>{{1,116}|{2,14}|{3,448}|{8,10000}|{9,10000}}</v>
      </c>
    </row>
    <row r="138" spans="10:12">
      <c r="J138" t="s">
        <v>169</v>
      </c>
      <c r="K138" t="s">
        <v>472</v>
      </c>
      <c r="L138" t="str">
        <f t="shared" si="2"/>
        <v>{{1,113}|{2,17}|{3,451}|{8,10000}|{9,10000}}</v>
      </c>
    </row>
    <row r="139" spans="10:12">
      <c r="J139" t="s">
        <v>311</v>
      </c>
      <c r="K139" t="s">
        <v>472</v>
      </c>
      <c r="L139" t="str">
        <f t="shared" si="2"/>
        <v>{{1,113}|{2,17}|{3,451}|{8,10000}|{9,10000}}</v>
      </c>
    </row>
    <row r="140" spans="10:12">
      <c r="J140" t="s">
        <v>171</v>
      </c>
      <c r="K140" t="s">
        <v>471</v>
      </c>
      <c r="L140" t="str">
        <f t="shared" si="2"/>
        <v>{{1,116}|{2,14}|{3,448}|{8,10000}|{9,10000}}</v>
      </c>
    </row>
    <row r="141" spans="10:12">
      <c r="J141" t="s">
        <v>173</v>
      </c>
      <c r="K141" t="s">
        <v>473</v>
      </c>
      <c r="L141" t="str">
        <f t="shared" si="2"/>
        <v>{{1,115}|{2,15}|{3,449}|{8,10000}|{9,10000}}</v>
      </c>
    </row>
    <row r="142" spans="10:12">
      <c r="J142" t="s">
        <v>176</v>
      </c>
      <c r="K142" t="s">
        <v>473</v>
      </c>
      <c r="L142" t="str">
        <f t="shared" si="2"/>
        <v>{{1,115}|{2,15}|{3,449}|{8,10000}|{9,10000}}</v>
      </c>
    </row>
    <row r="143" spans="10:12">
      <c r="J143" t="s">
        <v>179</v>
      </c>
      <c r="K143" t="s">
        <v>472</v>
      </c>
      <c r="L143" t="str">
        <f t="shared" si="2"/>
        <v>{{1,113}|{2,17}|{3,451}|{8,10000}|{9,10000}}</v>
      </c>
    </row>
    <row r="144" spans="10:12">
      <c r="J144" t="s">
        <v>181</v>
      </c>
      <c r="K144" t="s">
        <v>472</v>
      </c>
      <c r="L144" t="str">
        <f t="shared" si="2"/>
        <v>{{1,113}|{2,17}|{3,451}|{8,10000}|{9,10000}}</v>
      </c>
    </row>
    <row r="145" spans="10:12">
      <c r="J145" t="s">
        <v>183</v>
      </c>
      <c r="K145" t="s">
        <v>471</v>
      </c>
      <c r="L145" t="str">
        <f t="shared" si="2"/>
        <v>{{1,116}|{2,14}|{3,448}|{8,10000}|{9,10000}}</v>
      </c>
    </row>
    <row r="146" spans="10:12">
      <c r="J146" t="s">
        <v>186</v>
      </c>
      <c r="K146" t="s">
        <v>471</v>
      </c>
      <c r="L146" t="str">
        <f t="shared" si="2"/>
        <v>{{1,116}|{2,14}|{3,448}|{8,10000}|{9,10000}}</v>
      </c>
    </row>
    <row r="147" spans="10:12">
      <c r="J147" t="s">
        <v>189</v>
      </c>
      <c r="K147" t="s">
        <v>472</v>
      </c>
      <c r="L147" t="str">
        <f t="shared" si="2"/>
        <v>{{1,113}|{2,17}|{3,451}|{8,10000}|{9,10000}}</v>
      </c>
    </row>
    <row r="148" spans="10:12">
      <c r="J148" t="s">
        <v>191</v>
      </c>
      <c r="K148" t="s">
        <v>471</v>
      </c>
      <c r="L148" t="str">
        <f t="shared" si="2"/>
        <v>{{1,116}|{2,14}|{3,448}|{8,10000}|{9,10000}}</v>
      </c>
    </row>
    <row r="149" spans="10:12">
      <c r="J149" t="s">
        <v>194</v>
      </c>
      <c r="K149" t="s">
        <v>473</v>
      </c>
      <c r="L149" t="str">
        <f t="shared" si="2"/>
        <v>{{1,115}|{2,15}|{3,449}|{8,10000}|{9,10000}}</v>
      </c>
    </row>
    <row r="150" spans="10:12">
      <c r="J150" t="s">
        <v>196</v>
      </c>
      <c r="K150" t="s">
        <v>473</v>
      </c>
      <c r="L150" t="str">
        <f t="shared" si="2"/>
        <v>{{1,115}|{2,15}|{3,449}|{8,10000}|{9,10000}}</v>
      </c>
    </row>
    <row r="151" spans="10:12">
      <c r="J151" t="s">
        <v>198</v>
      </c>
      <c r="K151" t="s">
        <v>471</v>
      </c>
      <c r="L151" t="str">
        <f t="shared" si="2"/>
        <v>{{1,116}|{2,14}|{3,448}|{8,10000}|{9,10000}}</v>
      </c>
    </row>
    <row r="152" spans="10:12">
      <c r="J152" t="s">
        <v>200</v>
      </c>
      <c r="K152" t="s">
        <v>473</v>
      </c>
      <c r="L152" t="str">
        <f t="shared" si="2"/>
        <v>{{1,115}|{2,15}|{3,449}|{8,10000}|{9,10000}}</v>
      </c>
    </row>
    <row r="153" spans="10:12">
      <c r="J153" t="s">
        <v>202</v>
      </c>
      <c r="K153" t="s">
        <v>471</v>
      </c>
      <c r="L153" t="str">
        <f t="shared" si="2"/>
        <v>{{1,116}|{2,14}|{3,448}|{8,10000}|{9,10000}}</v>
      </c>
    </row>
    <row r="154" spans="10:12">
      <c r="J154" t="s">
        <v>204</v>
      </c>
      <c r="K154" t="s">
        <v>473</v>
      </c>
      <c r="L154" t="str">
        <f t="shared" si="2"/>
        <v>{{1,55}|{2,15}|{3,449}|{8,10000}|{9,10000}}</v>
      </c>
    </row>
    <row r="155" spans="10:12">
      <c r="J155" t="s">
        <v>207</v>
      </c>
      <c r="K155" t="s">
        <v>473</v>
      </c>
      <c r="L155" t="str">
        <f t="shared" si="2"/>
        <v>{{1,115}|{2,15}|{3,449}|{8,10000}|{9,10000}}</v>
      </c>
    </row>
    <row r="156" spans="10:12">
      <c r="J156" t="s">
        <v>210</v>
      </c>
      <c r="K156" t="s">
        <v>471</v>
      </c>
      <c r="L156" t="str">
        <f t="shared" si="2"/>
        <v>{{1,116}|{2,14}|{3,448}|{8,10000}|{9,10000}}</v>
      </c>
    </row>
    <row r="157" spans="10:12">
      <c r="J157" t="s">
        <v>213</v>
      </c>
      <c r="K157" t="s">
        <v>472</v>
      </c>
      <c r="L157" t="str">
        <f t="shared" si="2"/>
        <v>{{1,93}|{2,17}|{3,451}|{8,10000}|{9,10000}}</v>
      </c>
    </row>
    <row r="158" spans="10:12">
      <c r="J158" t="s">
        <v>215</v>
      </c>
      <c r="K158" t="s">
        <v>471</v>
      </c>
      <c r="L158" t="str">
        <f t="shared" si="2"/>
        <v>{{1,116}|{2,14}|{3,448}|{8,10000}|{9,10000}}</v>
      </c>
    </row>
    <row r="159" spans="10:12">
      <c r="J159" t="s">
        <v>318</v>
      </c>
      <c r="K159" t="s">
        <v>473</v>
      </c>
      <c r="L159" t="str">
        <f t="shared" si="2"/>
        <v>{{1,115}|{2,15}|{3,449}|{8,10000}|{9,10000}}</v>
      </c>
    </row>
    <row r="160" spans="10:12">
      <c r="J160" t="s">
        <v>222</v>
      </c>
      <c r="K160" t="s">
        <v>473</v>
      </c>
      <c r="L160" t="str">
        <f t="shared" si="2"/>
        <v>{{1,115}|{2,15}|{3,449}|{8,10000}|{9,10000}}</v>
      </c>
    </row>
    <row r="161" spans="10:12">
      <c r="J161" t="s">
        <v>226</v>
      </c>
      <c r="K161" t="s">
        <v>473</v>
      </c>
      <c r="L161" t="str">
        <f t="shared" si="2"/>
        <v>{{1,115}|{2,15}|{3,449}|{8,10000}|{9,10000}}</v>
      </c>
    </row>
    <row r="162" spans="10:12">
      <c r="J162" t="s">
        <v>319</v>
      </c>
      <c r="K162" t="s">
        <v>472</v>
      </c>
      <c r="L162" t="str">
        <f t="shared" si="2"/>
        <v>{{1,113}|{2,17}|{3,451}|{8,10000}|{9,10000}}</v>
      </c>
    </row>
    <row r="163" spans="10:12">
      <c r="J163" t="s">
        <v>231</v>
      </c>
      <c r="K163" t="s">
        <v>472</v>
      </c>
      <c r="L163" t="str">
        <f t="shared" si="2"/>
        <v>{{1,113}|{2,17}|{3,451}|{8,10000}|{9,10000}}</v>
      </c>
    </row>
    <row r="164" spans="10:12">
      <c r="J164" t="s">
        <v>234</v>
      </c>
      <c r="K164" t="s">
        <v>471</v>
      </c>
      <c r="L164" t="str">
        <f t="shared" si="2"/>
        <v>{{1,116}|{2,14}|{3,448}|{8,10000}|{9,10000}}</v>
      </c>
    </row>
    <row r="165" spans="10:12">
      <c r="J165" t="s">
        <v>236</v>
      </c>
      <c r="K165" t="s">
        <v>474</v>
      </c>
      <c r="L165" t="str">
        <f t="shared" si="2"/>
        <v>{{1,114}|{2,16}|{3,450}|{8,10000}|{9,10000}}</v>
      </c>
    </row>
    <row r="166" spans="10:12">
      <c r="J166" t="s">
        <v>239</v>
      </c>
      <c r="K166" t="s">
        <v>474</v>
      </c>
      <c r="L166" t="str">
        <f t="shared" si="2"/>
        <v>{{1,114}|{2,16}|{3,450}|{8,10000}|{9,10000}}</v>
      </c>
    </row>
    <row r="167" spans="10:12">
      <c r="J167" t="s">
        <v>242</v>
      </c>
      <c r="K167" t="s">
        <v>471</v>
      </c>
      <c r="L167" t="str">
        <f t="shared" si="2"/>
        <v>{{1,93}|{2,14}|{3,448}|{8,10000}|{9,10000}}</v>
      </c>
    </row>
    <row r="168" spans="10:12">
      <c r="J168" t="s">
        <v>244</v>
      </c>
      <c r="K168" t="s">
        <v>474</v>
      </c>
      <c r="L168" t="str">
        <f t="shared" si="2"/>
        <v>{{1,114}|{2,16}|{3,450}|{8,10000}|{9,10000}}</v>
      </c>
    </row>
    <row r="169" spans="10:12">
      <c r="J169" t="s">
        <v>246</v>
      </c>
      <c r="K169" t="s">
        <v>473</v>
      </c>
      <c r="L169" t="str">
        <f t="shared" si="2"/>
        <v>{{1,115}|{2,15}|{3,349}|{8,10000}|{9,10000}}</v>
      </c>
    </row>
    <row r="170" spans="10:12">
      <c r="J170" t="s">
        <v>249</v>
      </c>
      <c r="K170" t="s">
        <v>472</v>
      </c>
      <c r="L170" t="str">
        <f t="shared" si="2"/>
        <v>{{1,113}|{2,17}|{3,451}|{8,10000}|{9,10000}}</v>
      </c>
    </row>
    <row r="171" spans="10:12">
      <c r="J171" t="s">
        <v>251</v>
      </c>
      <c r="K171" t="s">
        <v>474</v>
      </c>
      <c r="L171" t="str">
        <f t="shared" si="2"/>
        <v>{{1,114}|{2,16}|{3,450}|{8,10000}|{9,10000}}</v>
      </c>
    </row>
    <row r="172" spans="10:12">
      <c r="J172" t="s">
        <v>253</v>
      </c>
      <c r="K172" t="s">
        <v>472</v>
      </c>
      <c r="L172" t="str">
        <f t="shared" si="2"/>
        <v>{{1,113}|{2,17}|{3,451}|{8,10000}|{9,10000}}</v>
      </c>
    </row>
    <row r="173" spans="10:12">
      <c r="J173" t="s">
        <v>256</v>
      </c>
      <c r="K173" t="s">
        <v>474</v>
      </c>
      <c r="L173" t="str">
        <f t="shared" si="2"/>
        <v>{{1,114}|{2,16}|{3,450}|{8,10000}|{9,10000}}</v>
      </c>
    </row>
    <row r="174" spans="10:12">
      <c r="J174" t="s">
        <v>257</v>
      </c>
      <c r="K174" t="s">
        <v>472</v>
      </c>
      <c r="L174" t="str">
        <f t="shared" si="2"/>
        <v>{{1,113}|{2,17}|{3,451}|{8,10000}|{9,10000}}</v>
      </c>
    </row>
    <row r="175" spans="10:12">
      <c r="J175" t="s">
        <v>32</v>
      </c>
      <c r="K175" t="s">
        <v>471</v>
      </c>
      <c r="L175" t="str">
        <f t="shared" si="2"/>
        <v>{{1,116}|{2,14}|{3,448}|{8,10000}|{9,10000}}</v>
      </c>
    </row>
    <row r="176" spans="10:12">
      <c r="J176" t="s">
        <v>36</v>
      </c>
      <c r="K176" t="s">
        <v>472</v>
      </c>
      <c r="L176" t="str">
        <f t="shared" si="2"/>
        <v>{{1,113}|{2,17}|{3,451}|{8,10000}|{9,10000}}</v>
      </c>
    </row>
    <row r="177" spans="10:12">
      <c r="J177" t="s">
        <v>40</v>
      </c>
      <c r="K177" t="s">
        <v>473</v>
      </c>
      <c r="L177" t="str">
        <f t="shared" si="2"/>
        <v>{{1,115}|{2,15}|{3,449}|{8,10000}|{9,10000}}</v>
      </c>
    </row>
    <row r="178" spans="10:12">
      <c r="J178" t="s">
        <v>43</v>
      </c>
      <c r="K178" t="s">
        <v>473</v>
      </c>
      <c r="L178" t="str">
        <f t="shared" si="2"/>
        <v>{{1,115}|{2,15}|{3,449}|{8,10000}|{9,10000}}</v>
      </c>
    </row>
    <row r="179" spans="10:12">
      <c r="J179" t="s">
        <v>299</v>
      </c>
      <c r="K179" t="s">
        <v>472</v>
      </c>
      <c r="L179" t="str">
        <f t="shared" si="2"/>
        <v>{{1,113}|{2,17}|{3,451}|{8,10000}|{9,10000}}</v>
      </c>
    </row>
    <row r="180" spans="10:12">
      <c r="J180" t="s">
        <v>46</v>
      </c>
      <c r="K180" t="s">
        <v>471</v>
      </c>
      <c r="L180" t="str">
        <f t="shared" si="2"/>
        <v>{{1,116}|{2,14}|{3,448}|{8,10000}|{9,10000}}</v>
      </c>
    </row>
    <row r="181" spans="10:12">
      <c r="J181" t="s">
        <v>50</v>
      </c>
      <c r="K181" t="s">
        <v>474</v>
      </c>
      <c r="L181" t="str">
        <f t="shared" si="2"/>
        <v>{{1,114}|{2,16}|{3,450}|{8,10000}|{9,10000}}</v>
      </c>
    </row>
    <row r="182" spans="10:12">
      <c r="J182" t="s">
        <v>53</v>
      </c>
      <c r="K182" t="s">
        <v>471</v>
      </c>
      <c r="L182" t="str">
        <f t="shared" si="2"/>
        <v>{{1,116}|{2,14}|{3,448}|{8,10000}|{9,10000}}</v>
      </c>
    </row>
    <row r="183" spans="10:12">
      <c r="J183" t="s">
        <v>300</v>
      </c>
      <c r="K183" t="s">
        <v>474</v>
      </c>
      <c r="L183" t="str">
        <f t="shared" si="2"/>
        <v>{{1,114}|{2,16}|{3,450}|{8,10000}|{9,10000}}</v>
      </c>
    </row>
    <row r="184" spans="10:12">
      <c r="J184" t="s">
        <v>301</v>
      </c>
      <c r="K184" t="s">
        <v>471</v>
      </c>
      <c r="L184" t="str">
        <f t="shared" si="2"/>
        <v>{{1,116}|{2,14}|{3,448}|{8,10000}|{9,10000}}</v>
      </c>
    </row>
    <row r="185" spans="10:12">
      <c r="J185" t="s">
        <v>57</v>
      </c>
      <c r="K185" t="s">
        <v>472</v>
      </c>
      <c r="L185" t="str">
        <f t="shared" si="2"/>
        <v>{{1,113}|{2,17}|{3,451}|{8,10000}|{9,10000}}</v>
      </c>
    </row>
    <row r="186" spans="10:12">
      <c r="J186" t="s">
        <v>60</v>
      </c>
      <c r="K186" t="s">
        <v>472</v>
      </c>
      <c r="L186" t="str">
        <f t="shared" si="2"/>
        <v>{{1,113}|{2,17}|{3,451}|{8,10000}|{9,10000}}</v>
      </c>
    </row>
    <row r="187" spans="10:12">
      <c r="J187" t="s">
        <v>64</v>
      </c>
      <c r="K187" t="s">
        <v>473</v>
      </c>
      <c r="L187" t="str">
        <f t="shared" si="2"/>
        <v>{{1,115}|{2,15}|{3,449}|{8,10000}|{9,10000}}</v>
      </c>
    </row>
    <row r="188" spans="10:12">
      <c r="J188" t="s">
        <v>68</v>
      </c>
      <c r="K188" t="s">
        <v>473</v>
      </c>
      <c r="L188" t="str">
        <f t="shared" si="2"/>
        <v>{{1,115}|{2,15}|{3,449}|{8,10000}|{9,10000}}</v>
      </c>
    </row>
    <row r="189" spans="10:12">
      <c r="J189" t="s">
        <v>72</v>
      </c>
      <c r="K189" t="s">
        <v>471</v>
      </c>
      <c r="L189" t="str">
        <f t="shared" si="2"/>
        <v>{{1,116}|{2,14}|{3,448}|{8,10000}|{9,10000}}</v>
      </c>
    </row>
    <row r="190" spans="10:12">
      <c r="J190" t="s">
        <v>75</v>
      </c>
      <c r="K190" t="s">
        <v>471</v>
      </c>
      <c r="L190" t="str">
        <f t="shared" si="2"/>
        <v>{{1,116}|{2,14}|{3,448}|{8,10000}|{9,10000}}</v>
      </c>
    </row>
    <row r="191" spans="10:12">
      <c r="J191" t="s">
        <v>302</v>
      </c>
      <c r="K191" t="s">
        <v>473</v>
      </c>
      <c r="L191" t="str">
        <f t="shared" si="2"/>
        <v>{{1,115}|{2,15}|{3,449}|{8,10000}|{9,10000}}</v>
      </c>
    </row>
    <row r="192" spans="10:12">
      <c r="J192" t="s">
        <v>77</v>
      </c>
      <c r="K192" t="s">
        <v>473</v>
      </c>
      <c r="L192" t="str">
        <f t="shared" si="2"/>
        <v>{{1,115}|{2,15}|{3,449}|{8,10000}|{9,10000}}</v>
      </c>
    </row>
    <row r="193" spans="10:12">
      <c r="J193" t="s">
        <v>81</v>
      </c>
      <c r="K193" t="s">
        <v>471</v>
      </c>
      <c r="L193" t="str">
        <f t="shared" si="2"/>
        <v>{{1,116}|{2,14}|{3,448}|{8,10000}|{9,10000}}</v>
      </c>
    </row>
    <row r="194" spans="10:12">
      <c r="J194" t="s">
        <v>85</v>
      </c>
      <c r="K194" t="s">
        <v>472</v>
      </c>
      <c r="L194" t="str">
        <f t="shared" si="2"/>
        <v>{{1,113}|{2,17}|{3,451}|{8,10000}|{9,10000}}</v>
      </c>
    </row>
    <row r="195" spans="10:12">
      <c r="J195" t="s">
        <v>89</v>
      </c>
      <c r="K195" t="s">
        <v>471</v>
      </c>
      <c r="L195" t="str">
        <f t="shared" si="2"/>
        <v>{{1,116}|{2,14}|{3,448}|{8,10000}|{9,10000}}</v>
      </c>
    </row>
    <row r="196" spans="10:12">
      <c r="J196" t="s">
        <v>92</v>
      </c>
      <c r="K196" t="s">
        <v>472</v>
      </c>
      <c r="L196" t="str">
        <f t="shared" si="2"/>
        <v>{{1,113}|{2,17}|{3,451}|{8,10000}|{9,10000}}</v>
      </c>
    </row>
    <row r="197" spans="10:12">
      <c r="J197" t="s">
        <v>96</v>
      </c>
      <c r="K197" t="s">
        <v>474</v>
      </c>
      <c r="L197" t="str">
        <f t="shared" si="2"/>
        <v>{{1,114}|{2,16}|{3,450}|{8,10000}|{9,10000}}</v>
      </c>
    </row>
    <row r="198" spans="10:12">
      <c r="J198" t="s">
        <v>99</v>
      </c>
      <c r="K198" t="s">
        <v>473</v>
      </c>
      <c r="L198" t="str">
        <f t="shared" ref="L198:L260" si="3">VLOOKUP(J198,$J$5:$K$260,2,0)</f>
        <v>{{1,115}|{2,15}|{3,449}|{8,10000}|{9,10000}}</v>
      </c>
    </row>
    <row r="199" spans="10:12">
      <c r="J199" t="s">
        <v>102</v>
      </c>
      <c r="K199" t="s">
        <v>472</v>
      </c>
      <c r="L199" t="str">
        <f t="shared" si="3"/>
        <v>{{1,113}|{2,17}|{3,451}|{8,10000}|{9,10000}}</v>
      </c>
    </row>
    <row r="200" spans="10:12">
      <c r="J200" t="s">
        <v>105</v>
      </c>
      <c r="K200" t="s">
        <v>473</v>
      </c>
      <c r="L200" t="str">
        <f t="shared" si="3"/>
        <v>{{1,115}|{2,15}|{3,449}|{8,10000}|{9,10000}}</v>
      </c>
    </row>
    <row r="201" spans="10:12">
      <c r="J201" t="s">
        <v>108</v>
      </c>
      <c r="K201" t="s">
        <v>471</v>
      </c>
      <c r="L201" t="str">
        <f t="shared" si="3"/>
        <v>{{1,116}|{2,14}|{3,448}|{8,10000}|{9,10000}}</v>
      </c>
    </row>
    <row r="202" spans="10:12">
      <c r="J202" t="s">
        <v>112</v>
      </c>
      <c r="K202" t="s">
        <v>473</v>
      </c>
      <c r="L202" t="str">
        <f t="shared" si="3"/>
        <v>{{1,115}|{2,15}|{3,449}|{8,10000}|{9,10000}}</v>
      </c>
    </row>
    <row r="203" spans="10:12">
      <c r="J203" t="s">
        <v>115</v>
      </c>
      <c r="K203" t="s">
        <v>472</v>
      </c>
      <c r="L203" t="str">
        <f t="shared" si="3"/>
        <v>{{1,113}|{2,17}|{3,451}|{8,10000}|{9,10000}}</v>
      </c>
    </row>
    <row r="204" spans="10:12">
      <c r="J204" t="s">
        <v>117</v>
      </c>
      <c r="K204" t="s">
        <v>472</v>
      </c>
      <c r="L204" t="str">
        <f t="shared" si="3"/>
        <v>{{1,113}|{2,17}|{3,451}|{8,10000}|{9,10000}}</v>
      </c>
    </row>
    <row r="205" spans="10:12">
      <c r="J205" t="s">
        <v>120</v>
      </c>
      <c r="K205" t="s">
        <v>473</v>
      </c>
      <c r="L205" t="str">
        <f t="shared" si="3"/>
        <v>{{1,115}|{2,15}|{3,449}|{8,10000}|{9,10000}}</v>
      </c>
    </row>
    <row r="206" spans="10:12">
      <c r="J206" t="s">
        <v>122</v>
      </c>
      <c r="K206" t="s">
        <v>473</v>
      </c>
      <c r="L206" t="str">
        <f t="shared" si="3"/>
        <v>{{1,115}|{2,15}|{3,449}|{8,10000}|{9,10000}}</v>
      </c>
    </row>
    <row r="207" spans="10:12">
      <c r="J207" t="s">
        <v>125</v>
      </c>
      <c r="K207" t="s">
        <v>474</v>
      </c>
      <c r="L207" t="str">
        <f t="shared" si="3"/>
        <v>{{1,114}|{2,16}|{3,450}|{8,10000}|{9,10000}}</v>
      </c>
    </row>
    <row r="208" spans="10:12">
      <c r="J208" t="s">
        <v>128</v>
      </c>
      <c r="K208" t="s">
        <v>472</v>
      </c>
      <c r="L208" t="str">
        <f t="shared" si="3"/>
        <v>{{1,113}|{2,17}|{3,451}|{8,10000}|{9,10000}}</v>
      </c>
    </row>
    <row r="209" spans="10:12">
      <c r="J209" t="s">
        <v>131</v>
      </c>
      <c r="K209" t="s">
        <v>473</v>
      </c>
      <c r="L209" t="str">
        <f t="shared" si="3"/>
        <v>{{1,115}|{2,15}|{3,449}|{8,10000}|{9,10000}}</v>
      </c>
    </row>
    <row r="210" spans="10:12">
      <c r="J210" t="s">
        <v>134</v>
      </c>
      <c r="K210" t="s">
        <v>473</v>
      </c>
      <c r="L210" t="str">
        <f t="shared" si="3"/>
        <v>{{1,115}|{2,15}|{3,449}|{8,10000}|{9,10000}}</v>
      </c>
    </row>
    <row r="211" spans="10:12">
      <c r="J211" t="s">
        <v>137</v>
      </c>
      <c r="K211" t="s">
        <v>471</v>
      </c>
      <c r="L211" t="str">
        <f t="shared" si="3"/>
        <v>{{1,116}|{2,14}|{3,448}|{8,10000}|{9,10000}}</v>
      </c>
    </row>
    <row r="212" spans="10:12">
      <c r="J212" t="s">
        <v>140</v>
      </c>
      <c r="K212" t="s">
        <v>473</v>
      </c>
      <c r="L212" t="str">
        <f t="shared" si="3"/>
        <v>{{1,115}|{2,15}|{3,449}|{8,10000}|{9,10000}}</v>
      </c>
    </row>
    <row r="213" spans="10:12">
      <c r="J213" t="s">
        <v>142</v>
      </c>
      <c r="K213" t="s">
        <v>472</v>
      </c>
      <c r="L213" t="str">
        <f t="shared" si="3"/>
        <v>{{1,113}|{2,17}|{3,451}|{8,10000}|{9,10000}}</v>
      </c>
    </row>
    <row r="214" spans="10:12">
      <c r="J214" t="s">
        <v>145</v>
      </c>
      <c r="K214" t="s">
        <v>471</v>
      </c>
      <c r="L214" t="str">
        <f t="shared" si="3"/>
        <v>{{1,116}|{2,14}|{3,448}|{8,10000}|{9,10000}}</v>
      </c>
    </row>
    <row r="215" spans="10:12">
      <c r="J215" t="s">
        <v>147</v>
      </c>
      <c r="K215" t="s">
        <v>471</v>
      </c>
      <c r="L215" t="str">
        <f t="shared" si="3"/>
        <v>{{1,116}|{2,14}|{3,448}|{8,10000}|{9,10000}}</v>
      </c>
    </row>
    <row r="216" spans="10:12">
      <c r="J216" t="s">
        <v>150</v>
      </c>
      <c r="K216" t="s">
        <v>473</v>
      </c>
      <c r="L216" t="str">
        <f t="shared" si="3"/>
        <v>{{1,115}|{2,15}|{3,449}|{8,10000}|{9,10000}}</v>
      </c>
    </row>
    <row r="217" spans="10:12">
      <c r="J217" t="s">
        <v>154</v>
      </c>
      <c r="K217" t="s">
        <v>472</v>
      </c>
      <c r="L217" t="str">
        <f t="shared" si="3"/>
        <v>{{1,113}|{2,17}|{3,451}|{8,10000}|{9,10000}}</v>
      </c>
    </row>
    <row r="218" spans="10:12">
      <c r="J218" t="s">
        <v>157</v>
      </c>
      <c r="K218" t="s">
        <v>473</v>
      </c>
      <c r="L218" t="str">
        <f t="shared" si="3"/>
        <v>{{1,115}|{2,15}|{3,449}|{8,10000}|{9,10000}}</v>
      </c>
    </row>
    <row r="219" spans="10:12">
      <c r="J219" t="s">
        <v>159</v>
      </c>
      <c r="K219" t="s">
        <v>472</v>
      </c>
      <c r="L219" t="str">
        <f t="shared" si="3"/>
        <v>{{1,113}|{2,17}|{3,451}|{8,10000}|{9,10000}}</v>
      </c>
    </row>
    <row r="220" spans="10:12">
      <c r="J220" t="s">
        <v>161</v>
      </c>
      <c r="K220" t="s">
        <v>471</v>
      </c>
      <c r="L220" t="str">
        <f t="shared" si="3"/>
        <v>{{1,116}|{2,14}|{3,448}|{8,10000}|{9,10000}}</v>
      </c>
    </row>
    <row r="221" spans="10:12">
      <c r="J221" t="s">
        <v>163</v>
      </c>
      <c r="K221" t="s">
        <v>471</v>
      </c>
      <c r="L221" t="str">
        <f t="shared" si="3"/>
        <v>{{1,116}|{2,14}|{3,448}|{8,10000}|{9,10000}}</v>
      </c>
    </row>
    <row r="222" spans="10:12">
      <c r="J222" t="s">
        <v>166</v>
      </c>
      <c r="K222" t="s">
        <v>471</v>
      </c>
      <c r="L222" t="str">
        <f t="shared" si="3"/>
        <v>{{1,116}|{2,14}|{3,448}|{8,10000}|{9,10000}}</v>
      </c>
    </row>
    <row r="223" spans="10:12">
      <c r="J223" t="s">
        <v>169</v>
      </c>
      <c r="K223" t="s">
        <v>472</v>
      </c>
      <c r="L223" t="str">
        <f t="shared" si="3"/>
        <v>{{1,113}|{2,17}|{3,451}|{8,10000}|{9,10000}}</v>
      </c>
    </row>
    <row r="224" spans="10:12">
      <c r="J224" t="s">
        <v>311</v>
      </c>
      <c r="K224" t="s">
        <v>472</v>
      </c>
      <c r="L224" t="str">
        <f t="shared" si="3"/>
        <v>{{1,113}|{2,17}|{3,451}|{8,10000}|{9,10000}}</v>
      </c>
    </row>
    <row r="225" spans="10:12">
      <c r="J225" t="s">
        <v>171</v>
      </c>
      <c r="K225" t="s">
        <v>471</v>
      </c>
      <c r="L225" t="str">
        <f t="shared" si="3"/>
        <v>{{1,116}|{2,14}|{3,448}|{8,10000}|{9,10000}}</v>
      </c>
    </row>
    <row r="226" spans="10:12">
      <c r="J226" t="s">
        <v>173</v>
      </c>
      <c r="K226" t="s">
        <v>473</v>
      </c>
      <c r="L226" t="str">
        <f t="shared" si="3"/>
        <v>{{1,115}|{2,15}|{3,449}|{8,10000}|{9,10000}}</v>
      </c>
    </row>
    <row r="227" spans="10:12">
      <c r="J227" t="s">
        <v>176</v>
      </c>
      <c r="K227" t="s">
        <v>473</v>
      </c>
      <c r="L227" t="str">
        <f t="shared" si="3"/>
        <v>{{1,115}|{2,15}|{3,449}|{8,10000}|{9,10000}}</v>
      </c>
    </row>
    <row r="228" spans="10:12">
      <c r="J228" t="s">
        <v>179</v>
      </c>
      <c r="K228" t="s">
        <v>472</v>
      </c>
      <c r="L228" t="str">
        <f t="shared" si="3"/>
        <v>{{1,113}|{2,17}|{3,451}|{8,10000}|{9,10000}}</v>
      </c>
    </row>
    <row r="229" spans="10:12">
      <c r="J229" t="s">
        <v>181</v>
      </c>
      <c r="K229" t="s">
        <v>472</v>
      </c>
      <c r="L229" t="str">
        <f t="shared" si="3"/>
        <v>{{1,113}|{2,17}|{3,451}|{8,10000}|{9,10000}}</v>
      </c>
    </row>
    <row r="230" spans="10:12">
      <c r="J230" t="s">
        <v>183</v>
      </c>
      <c r="K230" t="s">
        <v>471</v>
      </c>
      <c r="L230" t="str">
        <f t="shared" si="3"/>
        <v>{{1,116}|{2,14}|{3,448}|{8,10000}|{9,10000}}</v>
      </c>
    </row>
    <row r="231" spans="10:12">
      <c r="J231" t="s">
        <v>186</v>
      </c>
      <c r="K231" t="s">
        <v>471</v>
      </c>
      <c r="L231" t="str">
        <f t="shared" si="3"/>
        <v>{{1,116}|{2,14}|{3,448}|{8,10000}|{9,10000}}</v>
      </c>
    </row>
    <row r="232" spans="10:12">
      <c r="J232" t="s">
        <v>189</v>
      </c>
      <c r="K232" t="s">
        <v>472</v>
      </c>
      <c r="L232" t="str">
        <f t="shared" si="3"/>
        <v>{{1,113}|{2,17}|{3,451}|{8,10000}|{9,10000}}</v>
      </c>
    </row>
    <row r="233" spans="10:12">
      <c r="J233" t="s">
        <v>191</v>
      </c>
      <c r="K233" t="s">
        <v>471</v>
      </c>
      <c r="L233" t="str">
        <f t="shared" si="3"/>
        <v>{{1,116}|{2,14}|{3,448}|{8,10000}|{9,10000}}</v>
      </c>
    </row>
    <row r="234" spans="10:12">
      <c r="J234" t="s">
        <v>194</v>
      </c>
      <c r="K234" t="s">
        <v>473</v>
      </c>
      <c r="L234" t="str">
        <f t="shared" si="3"/>
        <v>{{1,115}|{2,15}|{3,449}|{8,10000}|{9,10000}}</v>
      </c>
    </row>
    <row r="235" spans="10:12">
      <c r="J235" t="s">
        <v>196</v>
      </c>
      <c r="K235" t="s">
        <v>473</v>
      </c>
      <c r="L235" t="str">
        <f t="shared" si="3"/>
        <v>{{1,115}|{2,15}|{3,449}|{8,10000}|{9,10000}}</v>
      </c>
    </row>
    <row r="236" spans="10:12">
      <c r="J236" t="s">
        <v>198</v>
      </c>
      <c r="K236" t="s">
        <v>471</v>
      </c>
      <c r="L236" t="str">
        <f t="shared" si="3"/>
        <v>{{1,116}|{2,14}|{3,448}|{8,10000}|{9,10000}}</v>
      </c>
    </row>
    <row r="237" spans="10:12">
      <c r="J237" t="s">
        <v>200</v>
      </c>
      <c r="K237" t="s">
        <v>473</v>
      </c>
      <c r="L237" t="str">
        <f t="shared" si="3"/>
        <v>{{1,115}|{2,15}|{3,449}|{8,10000}|{9,10000}}</v>
      </c>
    </row>
    <row r="238" spans="10:12">
      <c r="J238" t="s">
        <v>202</v>
      </c>
      <c r="K238" t="s">
        <v>471</v>
      </c>
      <c r="L238" t="str">
        <f t="shared" si="3"/>
        <v>{{1,116}|{2,14}|{3,448}|{8,10000}|{9,10000}}</v>
      </c>
    </row>
    <row r="239" spans="10:12">
      <c r="J239" t="s">
        <v>204</v>
      </c>
      <c r="K239" t="s">
        <v>473</v>
      </c>
      <c r="L239" t="str">
        <f t="shared" si="3"/>
        <v>{{1,55}|{2,15}|{3,449}|{8,10000}|{9,10000}}</v>
      </c>
    </row>
    <row r="240" spans="10:12">
      <c r="J240" t="s">
        <v>207</v>
      </c>
      <c r="K240" t="s">
        <v>473</v>
      </c>
      <c r="L240" t="str">
        <f t="shared" si="3"/>
        <v>{{1,115}|{2,15}|{3,449}|{8,10000}|{9,10000}}</v>
      </c>
    </row>
    <row r="241" spans="10:12">
      <c r="J241" t="s">
        <v>210</v>
      </c>
      <c r="K241" t="s">
        <v>471</v>
      </c>
      <c r="L241" t="str">
        <f t="shared" si="3"/>
        <v>{{1,116}|{2,14}|{3,448}|{8,10000}|{9,10000}}</v>
      </c>
    </row>
    <row r="242" spans="10:12">
      <c r="J242" t="s">
        <v>213</v>
      </c>
      <c r="K242" t="s">
        <v>472</v>
      </c>
      <c r="L242" t="str">
        <f t="shared" si="3"/>
        <v>{{1,93}|{2,17}|{3,451}|{8,10000}|{9,10000}}</v>
      </c>
    </row>
    <row r="243" spans="10:12">
      <c r="J243" t="s">
        <v>215</v>
      </c>
      <c r="K243" t="s">
        <v>471</v>
      </c>
      <c r="L243" t="str">
        <f t="shared" si="3"/>
        <v>{{1,116}|{2,14}|{3,448}|{8,10000}|{9,10000}}</v>
      </c>
    </row>
    <row r="244" spans="10:12">
      <c r="J244" t="s">
        <v>318</v>
      </c>
      <c r="K244" t="s">
        <v>473</v>
      </c>
      <c r="L244" t="str">
        <f t="shared" si="3"/>
        <v>{{1,115}|{2,15}|{3,449}|{8,10000}|{9,10000}}</v>
      </c>
    </row>
    <row r="245" spans="10:12">
      <c r="J245" t="s">
        <v>222</v>
      </c>
      <c r="K245" t="s">
        <v>473</v>
      </c>
      <c r="L245" t="str">
        <f t="shared" si="3"/>
        <v>{{1,115}|{2,15}|{3,449}|{8,10000}|{9,10000}}</v>
      </c>
    </row>
    <row r="246" spans="10:12">
      <c r="J246" t="s">
        <v>226</v>
      </c>
      <c r="K246" t="s">
        <v>473</v>
      </c>
      <c r="L246" t="str">
        <f t="shared" si="3"/>
        <v>{{1,115}|{2,15}|{3,449}|{8,10000}|{9,10000}}</v>
      </c>
    </row>
    <row r="247" spans="10:12">
      <c r="J247" t="s">
        <v>319</v>
      </c>
      <c r="K247" t="s">
        <v>472</v>
      </c>
      <c r="L247" t="str">
        <f t="shared" si="3"/>
        <v>{{1,113}|{2,17}|{3,451}|{8,10000}|{9,10000}}</v>
      </c>
    </row>
    <row r="248" spans="10:12">
      <c r="J248" t="s">
        <v>231</v>
      </c>
      <c r="K248" t="s">
        <v>472</v>
      </c>
      <c r="L248" t="str">
        <f t="shared" si="3"/>
        <v>{{1,113}|{2,17}|{3,451}|{8,10000}|{9,10000}}</v>
      </c>
    </row>
    <row r="249" spans="10:12">
      <c r="J249" t="s">
        <v>234</v>
      </c>
      <c r="K249" t="s">
        <v>471</v>
      </c>
      <c r="L249" t="str">
        <f t="shared" si="3"/>
        <v>{{1,116}|{2,14}|{3,448}|{8,10000}|{9,10000}}</v>
      </c>
    </row>
    <row r="250" spans="10:12">
      <c r="J250" t="s">
        <v>236</v>
      </c>
      <c r="K250" t="s">
        <v>474</v>
      </c>
      <c r="L250" t="str">
        <f t="shared" si="3"/>
        <v>{{1,114}|{2,16}|{3,450}|{8,10000}|{9,10000}}</v>
      </c>
    </row>
    <row r="251" spans="10:12">
      <c r="J251" t="s">
        <v>239</v>
      </c>
      <c r="K251" t="s">
        <v>474</v>
      </c>
      <c r="L251" t="str">
        <f t="shared" si="3"/>
        <v>{{1,114}|{2,16}|{3,450}|{8,10000}|{9,10000}}</v>
      </c>
    </row>
    <row r="252" spans="10:12">
      <c r="J252" t="s">
        <v>242</v>
      </c>
      <c r="K252" t="s">
        <v>471</v>
      </c>
      <c r="L252" t="str">
        <f t="shared" si="3"/>
        <v>{{1,93}|{2,14}|{3,448}|{8,10000}|{9,10000}}</v>
      </c>
    </row>
    <row r="253" spans="10:12">
      <c r="J253" t="s">
        <v>244</v>
      </c>
      <c r="K253" t="s">
        <v>474</v>
      </c>
      <c r="L253" t="str">
        <f t="shared" si="3"/>
        <v>{{1,114}|{2,16}|{3,450}|{8,10000}|{9,10000}}</v>
      </c>
    </row>
    <row r="254" spans="10:12">
      <c r="J254" t="s">
        <v>246</v>
      </c>
      <c r="K254" t="s">
        <v>473</v>
      </c>
      <c r="L254" t="str">
        <f t="shared" si="3"/>
        <v>{{1,115}|{2,15}|{3,349}|{8,10000}|{9,10000}}</v>
      </c>
    </row>
    <row r="255" spans="10:12">
      <c r="J255" t="s">
        <v>249</v>
      </c>
      <c r="K255" t="s">
        <v>472</v>
      </c>
      <c r="L255" t="str">
        <f t="shared" si="3"/>
        <v>{{1,113}|{2,17}|{3,451}|{8,10000}|{9,10000}}</v>
      </c>
    </row>
    <row r="256" spans="10:12">
      <c r="J256" t="s">
        <v>251</v>
      </c>
      <c r="K256" t="s">
        <v>474</v>
      </c>
      <c r="L256" t="str">
        <f t="shared" si="3"/>
        <v>{{1,114}|{2,16}|{3,450}|{8,10000}|{9,10000}}</v>
      </c>
    </row>
    <row r="257" spans="10:12">
      <c r="J257" t="s">
        <v>253</v>
      </c>
      <c r="K257" t="s">
        <v>472</v>
      </c>
      <c r="L257" t="str">
        <f t="shared" si="3"/>
        <v>{{1,113}|{2,17}|{3,451}|{8,10000}|{9,10000}}</v>
      </c>
    </row>
    <row r="258" spans="10:12">
      <c r="J258" t="s">
        <v>256</v>
      </c>
      <c r="K258" t="s">
        <v>474</v>
      </c>
      <c r="L258" t="str">
        <f t="shared" si="3"/>
        <v>{{1,114}|{2,16}|{3,450}|{8,10000}|{9,10000}}</v>
      </c>
    </row>
    <row r="259" spans="10:12">
      <c r="J259" t="s">
        <v>257</v>
      </c>
      <c r="K259" t="s">
        <v>472</v>
      </c>
      <c r="L259" t="str">
        <f t="shared" si="3"/>
        <v>{{1,113}|{2,17}|{3,451}|{8,10000}|{9,10000}}</v>
      </c>
    </row>
    <row r="260" spans="10:12">
      <c r="J260" t="s">
        <v>173</v>
      </c>
      <c r="K260" t="s">
        <v>479</v>
      </c>
      <c r="L260" t="str">
        <f t="shared" si="3"/>
        <v>{{1,115}|{2,15}|{3,449}|{8,10000}|{9,10000}}</v>
      </c>
    </row>
  </sheetData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恶魔扳机</cp:lastModifiedBy>
  <dcterms:created xsi:type="dcterms:W3CDTF">2015-06-05T18:19:00Z</dcterms:created>
  <dcterms:modified xsi:type="dcterms:W3CDTF">2022-04-13T10:58:45Z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64965EA4DC8B4C779A76A069038B0FB6</vt:lpwstr>
  </property>
  <property fmtid="{D5CDD505-2E9C-101B-9397-08002B2CF9AE}" pid="3" name="KSOProductBuildVer">
    <vt:lpwstr>2052-11.1.0.11365</vt:lpwstr>
  </property>
</Properties>
</file>